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99fda559394f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전체 WBS" sheetId="1" r:id="Rcdf3f5e0a9e84841"/>
    <x:sheet xmlns:r="http://schemas.openxmlformats.org/officeDocument/2006/relationships" name="담당별 일정" sheetId="2" r:id="Rb61beb9fa84b419f"/>
    <x:sheet xmlns:r="http://schemas.openxmlformats.org/officeDocument/2006/relationships" name="주요 마감·의존관계" sheetId="3" r:id="R9fa16eb3cad24114"/>
  </x:sheets>
  <x:definedNames>
    <x:definedName name="_xlnm.Print_Area" localSheetId="0">'전체 WBS'!$A$1:$AL$90</x:definedName>
    <x:definedName name="_xlnm.Print_Titles" localSheetId="0">'전체 WBS'!$A:$J,'전체 WBS'!$1:$9</x:definedName>
    <x:definedName name="_xlnm.Print_Area" localSheetId="1">'담당별 일정'!$A$1:$L$164</x:definedName>
    <x:definedName name="_xlnm.Print_Titles" localSheetId="1">'담당별 일정'!$1:$7</x:definedName>
    <x:definedName name="_xlnm.Print_Area" localSheetId="2">'주요 마감·의존관계'!$A$1:$I$51</x:definedName>
    <x:definedName name="_xlnm.Print_Titles" localSheetId="2">'주요 마감·의존관계'!$1:$7</x:definedName>
  </x:definedNames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dd"/>
    <x:numFmt numFmtId="202" formatCode="mm/dd"/>
  </x:numFmts>
  <x:fonts count="15">
    <x:font>
      <x:sz val="11"/>
      <x:name val="Carlito"/>
    </x:font>
    <x:font>
      <x:sz val="10.5"/>
      <x:color rgb="FF26394B"/>
      <x:name val="NanumGothic"/>
    </x:font>
    <x:font>
      <x:b/>
      <x:sz val="16"/>
      <x:color rgb="FF18314F"/>
      <x:name val="NanumGothic"/>
    </x:font>
    <x:font>
      <x:sz val="11"/>
      <x:color rgb="FF64748B"/>
      <x:name val="NanumGothic"/>
    </x:font>
    <x:font>
      <x:sz val="10.5"/>
      <x:color rgb="FF64748B"/>
      <x:name val="NanumGothic"/>
    </x:font>
    <x:font>
      <x:b/>
      <x:sz val="10.5"/>
      <x:color rgb="FF26394B"/>
      <x:name val="NanumGothic"/>
    </x:font>
    <x:font>
      <x:sz val="10.5"/>
      <x:color rgb="FF26394B"/>
      <x:name val="NanumGothic"/>
    </x:font>
    <x:font>
      <x:sz val="10.5"/>
      <x:color rgb="FF18314F"/>
      <x:name val="NanumGothic"/>
    </x:font>
    <x:font>
      <x:b/>
      <x:sz val="10.5"/>
      <x:color rgb="FF18314F"/>
      <x:name val="NanumGothic"/>
    </x:font>
    <x:font>
      <x:b/>
      <x:sz val="10.5"/>
      <x:color rgb="FFFFFFFF"/>
      <x:name val="NanumGothic"/>
    </x:font>
    <x:font>
      <x:b/>
      <x:sz val="10"/>
      <x:color rgb="FF18314F"/>
      <x:name val="NanumGothic"/>
    </x:font>
    <x:font>
      <x:b/>
      <x:sz val="10.5"/>
      <x:color rgb="FF64748B"/>
      <x:name val="NanumGothic"/>
    </x:font>
    <x:font>
      <x:u val="single"/>
      <x:sz val="10"/>
      <x:color rgb="FF2F6FAE"/>
      <x:name val="NanumGothic"/>
    </x:font>
    <x:font>
      <x:sz val="10"/>
      <x:color rgb="FF64748B"/>
      <x:name val="NanumGothic"/>
    </x:font>
    <x:font>
      <x:sz val="10.5"/>
      <x:color rgb="FF8B5E23"/>
      <x:name val="NanumGothic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5F9FD"/>
      </x:patternFill>
    </x:fill>
    <x:fill>
      <x:patternFill patternType="solid">
        <x:fgColor rgb="FFDCEAF7"/>
      </x:patternFill>
    </x:fill>
    <x:fill>
      <x:patternFill patternType="solid">
        <x:fgColor rgb="FFEEF0F3"/>
      </x:patternFill>
    </x:fill>
    <x:fill>
      <x:patternFill patternType="solid">
        <x:fgColor rgb="FFF7F8FA"/>
      </x:patternFill>
    </x:fill>
    <x:fill>
      <x:patternFill patternType="solid">
        <x:fgColor rgb="FF18314F"/>
      </x:patternFill>
    </x:fill>
    <x:fill>
      <x:patternFill patternType="solid">
        <x:fgColor rgb="FFEDF3F8"/>
      </x:patternFill>
    </x:fill>
    <x:fill>
      <x:patternFill patternType="solid">
        <x:fgColor rgb="FFE9EDF2"/>
      </x:patternFill>
    </x:fill>
    <x:fill>
      <x:patternFill patternType="solid">
        <x:fgColor rgb="FF3C5C7A"/>
      </x:patternFill>
    </x:fill>
    <x:fill>
      <x:patternFill patternType="solid">
        <x:fgColor rgb="FF506176"/>
      </x:patternFill>
    </x:fill>
    <x:fill>
      <x:patternFill patternType="solid">
        <x:fgColor rgb="FFFAFBFD"/>
      </x:patternFill>
    </x:fill>
    <x:fill>
      <x:patternFill patternType="solid">
        <x:fgColor rgb="FFFFF5E6"/>
      </x:patternFill>
    </x:fill>
  </x:fills>
  <x:borders count="13">
    <x:border>
      <x:left/>
      <x:right/>
      <x:top/>
      <x:bottom/>
      <x:diagonal/>
    </x:border>
    <x:border>
      <x:left/>
      <x:right/>
      <x:top/>
      <x:bottom style="hair">
        <x:color rgb="FFDDE3EA"/>
      </x:bottom>
      <x:diagonal/>
    </x:border>
    <x:border>
      <x:left/>
      <x:right/>
      <x:top style="hair">
        <x:color rgb="FFDDE3EA"/>
      </x:top>
      <x:bottom style="hair">
        <x:color rgb="FFDDE3EA"/>
      </x:bottom>
      <x:diagonal/>
    </x:border>
    <x:border>
      <x:left/>
      <x:right/>
      <x:top style="hair">
        <x:color rgb="FFDDE3EA"/>
      </x:top>
      <x:bottom/>
      <x:diagonal/>
    </x:border>
    <x:border>
      <x:left/>
      <x:right/>
      <x:top style="thin">
        <x:color rgb="FFBCC9D6"/>
      </x:top>
      <x:bottom style="hair">
        <x:color rgb="FFDDE3EA"/>
      </x:bottom>
      <x:diagonal/>
    </x:border>
    <x:border>
      <x:left style="medium">
        <x:color rgb="FF426F97"/>
      </x:left>
      <x:right/>
      <x:top/>
      <x:bottom/>
      <x:diagonal/>
    </x:border>
    <x:border>
      <x:left style="medium">
        <x:color rgb="FF426F97"/>
      </x:left>
      <x:right/>
      <x:top style="thin">
        <x:color rgb="FFBCC9D6"/>
      </x:top>
      <x:bottom style="hair">
        <x:color rgb="FFDDE3EA"/>
      </x:bottom>
      <x:diagonal/>
    </x:border>
    <x:border>
      <x:left style="medium">
        <x:color rgb="FF426F97"/>
      </x:left>
      <x:right/>
      <x:top style="hair">
        <x:color rgb="FFDDE3EA"/>
      </x:top>
      <x:bottom style="hair">
        <x:color rgb="FFDDE3EA"/>
      </x:bottom>
      <x:diagonal/>
    </x:border>
    <x:border>
      <x:left style="medium">
        <x:color rgb="FF426F97"/>
      </x:left>
      <x:right/>
      <x:top style="hair">
        <x:color rgb="FFDDE3EA"/>
      </x:top>
      <x:bottom/>
      <x:diagonal/>
    </x:border>
    <x:border>
      <x:left style="thin">
        <x:color rgb="FF97A9BB"/>
      </x:left>
      <x:right/>
      <x:top/>
      <x:bottom/>
      <x:diagonal/>
    </x:border>
    <x:border>
      <x:left style="thin">
        <x:color rgb="FF97A9BB"/>
      </x:left>
      <x:right/>
      <x:top style="thin">
        <x:color rgb="FFBCC9D6"/>
      </x:top>
      <x:bottom style="hair">
        <x:color rgb="FFDDE3EA"/>
      </x:bottom>
      <x:diagonal/>
    </x:border>
    <x:border>
      <x:left style="thin">
        <x:color rgb="FF97A9BB"/>
      </x:left>
      <x:right/>
      <x:top style="hair">
        <x:color rgb="FFDDE3EA"/>
      </x:top>
      <x:bottom style="hair">
        <x:color rgb="FFDDE3EA"/>
      </x:bottom>
      <x:diagonal/>
    </x:border>
    <x:border>
      <x:left style="thin">
        <x:color rgb="FF97A9BB"/>
      </x:left>
      <x:right/>
      <x:top style="hair">
        <x:color rgb="FFDDE3EA"/>
      </x:top>
      <x:bottom/>
      <x:diagonal/>
    </x:border>
  </x:borders>
  <x:cellStyleXfs count="1">
    <x:xf numFmtId="0" fontId="0" fillId="0" borderId="0"/>
  </x:cellStyleXfs>
  <x:cellXfs count="1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vertical="center" wrapText="1"/>
    </x:xf>
    <x:xf numFmtId="0" fontId="10" fillId="8" borderId="0" xfId="0" applyNumberFormat="1" applyFont="1" applyFill="1" applyBorder="1" applyAlignment="1">
      <x:alignment vertical="center" wrapText="1"/>
    </x:xf>
    <x:xf numFmtId="0" fontId="10" fillId="8" borderId="0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201" fontId="1" fillId="7" borderId="0" xfId="0" applyNumberFormat="1" applyFont="1" applyFill="1" applyBorder="1" applyAlignment="1">
      <x:alignment vertical="center" wrapText="1"/>
    </x:xf>
    <x:xf numFmtId="201" fontId="9" fillId="7" borderId="0" xfId="0" applyNumberFormat="1" applyFont="1" applyFill="1" applyBorder="1" applyAlignment="1">
      <x:alignment vertical="center" wrapText="1"/>
    </x:xf>
    <x:xf numFmtId="201" fontId="9" fillId="7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2" fontId="1" fillId="2" borderId="1" xfId="0" applyNumberFormat="1" applyFont="1" applyFill="1" applyBorder="1" applyAlignment="1">
      <x:alignment horizontal="center" vertical="center" wrapText="1"/>
    </x:xf>
    <x:xf numFmtId="202" fontId="1" fillId="2" borderId="2" xfId="0" applyNumberFormat="1" applyFont="1" applyFill="1" applyBorder="1" applyAlignment="1">
      <x:alignment horizontal="center" vertical="center" wrapText="1"/>
    </x:xf>
    <x:xf numFmtId="202" fontId="1" fillId="2" borderId="3" xfId="0" applyNumberFormat="1" applyFont="1" applyFill="1" applyBorder="1" applyAlignment="1">
      <x:alignment horizontal="center" vertical="center" wrapText="1"/>
    </x:xf>
    <x:xf numFmtId="202" fontId="1" fillId="3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2" fontId="1" fillId="3" borderId="2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202" fontId="1" fillId="3" borderId="3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1" fillId="6" borderId="2" xfId="0" applyNumberFormat="1" applyFont="1" applyFill="1" applyBorder="1" applyAlignment="1">
      <x:alignment vertical="center" wrapText="1"/>
    </x:xf>
    <x:xf numFmtId="0" fontId="1" fillId="6" borderId="3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 applyAlignment="1">
      <x:alignment vertical="center" wrapText="1"/>
    </x:xf>
    <x:xf numFmtId="202" fontId="1" fillId="2" borderId="0" xfId="0" applyNumberFormat="1" applyFont="1" applyFill="1" applyBorder="1" applyAlignment="1">
      <x:alignment vertical="center" wrapText="1"/>
    </x:xf>
    <x:xf numFmtId="0" fontId="1" fillId="9" borderId="1" xfId="0" applyNumberFormat="1" applyFont="1" applyFill="1" applyBorder="1" applyAlignment="1">
      <x:alignment vertical="center" wrapText="1"/>
    </x:xf>
    <x:xf numFmtId="202" fontId="1" fillId="9" borderId="1" xfId="0" applyNumberFormat="1" applyFont="1" applyFill="1" applyBorder="1" applyAlignment="1">
      <x:alignment horizontal="center" vertical="center" wrapText="1"/>
    </x:xf>
    <x:xf numFmtId="0" fontId="1" fillId="9" borderId="1" xfId="0" applyNumberFormat="1" applyFont="1" applyFill="1" applyBorder="1" applyAlignment="1">
      <x:alignment horizontal="center" vertical="center" wrapText="1"/>
    </x:xf>
    <x:xf numFmtId="0" fontId="8" fillId="9" borderId="1" xfId="0" applyNumberFormat="1" applyFont="1" applyFill="1" applyBorder="1" applyAlignment="1">
      <x:alignment vertical="center" wrapText="1"/>
    </x:xf>
    <x:xf numFmtId="202" fontId="8" fillId="9" borderId="1" xfId="0" applyNumberFormat="1" applyFont="1" applyFill="1" applyBorder="1" applyAlignment="1">
      <x:alignment horizontal="center" vertical="center" wrapText="1"/>
    </x:xf>
    <x:xf numFmtId="0" fontId="8" fillId="9" borderId="1" xfId="0" applyNumberFormat="1" applyFont="1" applyFill="1" applyBorder="1" applyAlignment="1">
      <x:alignment horizontal="center" vertical="center" wrapText="1"/>
    </x:xf>
    <x:xf numFmtId="0" fontId="8" fillId="9" borderId="4" xfId="0" applyNumberFormat="1" applyFont="1" applyFill="1" applyBorder="1" applyAlignment="1">
      <x:alignment vertical="center" wrapText="1"/>
    </x:xf>
    <x:xf numFmtId="202" fontId="8" fillId="9" borderId="4" xfId="0" applyNumberFormat="1" applyFont="1" applyFill="1" applyBorder="1" applyAlignment="1">
      <x:alignment horizontal="center" vertical="center" wrapText="1"/>
    </x:xf>
    <x:xf numFmtId="0" fontId="8" fillId="9" borderId="4" xfId="0" applyNumberFormat="1" applyFont="1" applyFill="1" applyBorder="1" applyAlignment="1">
      <x:alignment horizontal="center" vertical="center" wrapText="1"/>
    </x:xf>
    <x:xf numFmtId="0" fontId="1" fillId="9" borderId="2" xfId="0" applyNumberFormat="1" applyFont="1" applyFill="1" applyBorder="1" applyAlignment="1">
      <x:alignment vertical="center" wrapText="1"/>
    </x:xf>
    <x:xf numFmtId="202" fontId="1" fillId="9" borderId="2" xfId="0" applyNumberFormat="1" applyFont="1" applyFill="1" applyBorder="1" applyAlignment="1">
      <x:alignment horizontal="center" vertical="center" wrapText="1"/>
    </x:xf>
    <x:xf numFmtId="0" fontId="1" fillId="9" borderId="2" xfId="0" applyNumberFormat="1" applyFont="1" applyFill="1" applyBorder="1" applyAlignment="1">
      <x:alignment horizontal="center" vertical="center" wrapText="1"/>
    </x:xf>
    <x:xf numFmtId="0" fontId="8" fillId="9" borderId="2" xfId="0" applyNumberFormat="1" applyFont="1" applyFill="1" applyBorder="1" applyAlignment="1">
      <x:alignment vertical="center" wrapText="1"/>
    </x:xf>
    <x:xf numFmtId="202" fontId="8" fillId="9" borderId="2" xfId="0" applyNumberFormat="1" applyFont="1" applyFill="1" applyBorder="1" applyAlignment="1">
      <x:alignment horizontal="center" vertical="center" wrapText="1"/>
    </x:xf>
    <x:xf numFmtId="0" fontId="8" fillId="9" borderId="2" xfId="0" applyNumberFormat="1" applyFont="1" applyFill="1" applyBorder="1" applyAlignment="1">
      <x:alignment horizontal="center" vertical="center" wrapText="1"/>
    </x:xf>
    <x:xf numFmtId="0" fontId="12" fillId="6" borderId="2" xfId="0" applyNumberFormat="1" applyFont="1" applyFill="1" applyBorder="1" applyAlignment="1">
      <x:alignment vertical="center" wrapText="1"/>
    </x:xf>
    <x:xf numFmtId="0" fontId="8" fillId="2" borderId="2" xfId="0" applyNumberFormat="1" applyFont="1" applyFill="1" applyBorder="1" applyAlignment="1">
      <x:alignment vertical="center" wrapText="1"/>
    </x:xf>
    <x:xf numFmtId="0" fontId="13" fillId="2" borderId="2" xfId="0" applyNumberFormat="1" applyFont="1" applyFill="1" applyBorder="1" applyAlignment="1">
      <x:alignment vertical="center" wrapText="1"/>
    </x:xf>
    <x:xf numFmtId="0" fontId="12" fillId="6" borderId="3" xfId="0" applyNumberFormat="1" applyFont="1" applyFill="1" applyBorder="1" applyAlignment="1">
      <x:alignment vertical="center" wrapText="1"/>
    </x:xf>
    <x:xf numFmtId="0" fontId="8" fillId="2" borderId="3" xfId="0" applyNumberFormat="1" applyFont="1" applyFill="1" applyBorder="1" applyAlignment="1">
      <x:alignment vertical="center" wrapText="1"/>
    </x:xf>
    <x:xf numFmtId="0" fontId="13" fillId="2" borderId="3" xfId="0" applyNumberFormat="1" applyFont="1" applyFill="1" applyBorder="1" applyAlignment="1">
      <x:alignment vertical="center" wrapText="1"/>
    </x:xf>
    <x:xf numFmtId="201" fontId="9" fillId="10" borderId="0" xfId="0" applyNumberFormat="1" applyFont="1" applyFill="1" applyBorder="1" applyAlignment="1">
      <x:alignment horizontal="center" vertical="center" wrapText="1"/>
    </x:xf>
    <x:xf numFmtId="201" fontId="9" fillId="10" borderId="5" xfId="0" applyNumberFormat="1" applyFont="1" applyFill="1" applyBorder="1" applyAlignment="1">
      <x:alignment horizontal="center" vertical="center" wrapText="1"/>
    </x:xf>
    <x:xf numFmtId="0" fontId="8" fillId="9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201" fontId="9" fillId="11" borderId="0" xfId="0" applyNumberFormat="1" applyFont="1" applyFill="1" applyBorder="1" applyAlignment="1">
      <x:alignment horizontal="center" vertical="center" wrapText="1"/>
    </x:xf>
    <x:xf numFmtId="0" fontId="9" fillId="7" borderId="9" xfId="0" applyNumberFormat="1" applyFont="1" applyFill="1" applyBorder="1" applyAlignment="1">
      <x:alignment horizontal="center" vertical="center" wrapText="1"/>
    </x:xf>
    <x:xf numFmtId="0" fontId="10" fillId="8" borderId="9" xfId="0" applyNumberFormat="1" applyFont="1" applyFill="1" applyBorder="1" applyAlignment="1">
      <x:alignment horizontal="center" vertical="center" wrapText="1"/>
    </x:xf>
    <x:xf numFmtId="201" fontId="9" fillId="7" borderId="9" xfId="0" applyNumberFormat="1" applyFont="1" applyFill="1" applyBorder="1" applyAlignment="1">
      <x:alignment horizontal="center" vertical="center" wrapText="1"/>
    </x:xf>
    <x:xf numFmtId="0" fontId="8" fillId="9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201" fontId="9" fillId="11" borderId="9" xfId="0" applyNumberFormat="1" applyFont="1" applyFill="1" applyBorder="1" applyAlignment="1">
      <x:alignment horizontal="center" vertical="center" wrapText="1"/>
    </x:xf>
    <x:xf numFmtId="0" fontId="1" fillId="5" borderId="11" xfId="0" applyNumberFormat="1" applyFont="1" applyFill="1" applyBorder="1" applyAlignment="1">
      <x:alignment horizontal="center" vertical="center" wrapText="1"/>
    </x:xf>
    <x:xf numFmtId="0" fontId="1" fillId="5" borderId="12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2" fontId="1" fillId="2" borderId="0" xfId="0" applyNumberFormat="1" applyFont="1" applyFill="1" applyBorder="1" applyAlignment="1">
      <x:alignment horizontal="center" vertical="center" wrapText="1"/>
    </x:xf>
    <x:xf numFmtId="0" fontId="1" fillId="12" borderId="1" xfId="0" applyNumberFormat="1" applyFont="1" applyFill="1" applyBorder="1" applyAlignment="1">
      <x:alignment vertical="center" wrapText="1"/>
    </x:xf>
    <x:xf numFmtId="202" fontId="1" fillId="12" borderId="1" xfId="0" applyNumberFormat="1" applyFont="1" applyFill="1" applyBorder="1" applyAlignment="1">
      <x:alignment horizontal="center" vertical="center" wrapText="1"/>
    </x:xf>
    <x:xf numFmtId="0" fontId="1" fillId="12" borderId="1" xfId="0" applyNumberFormat="1" applyFont="1" applyFill="1" applyBorder="1" applyAlignment="1">
      <x:alignment horizontal="center" vertical="center" wrapText="1"/>
    </x:xf>
    <x:xf numFmtId="0" fontId="1" fillId="12" borderId="2" xfId="0" applyNumberFormat="1" applyFont="1" applyFill="1" applyBorder="1" applyAlignment="1">
      <x:alignment vertical="center" wrapText="1"/>
    </x:xf>
    <x:xf numFmtId="202" fontId="1" fillId="12" borderId="2" xfId="0" applyNumberFormat="1" applyFont="1" applyFill="1" applyBorder="1" applyAlignment="1">
      <x:alignment horizontal="center" vertical="center" wrapText="1"/>
    </x:xf>
    <x:xf numFmtId="0" fontId="1" fillId="12" borderId="2" xfId="0" applyNumberFormat="1" applyFont="1" applyFill="1" applyBorder="1" applyAlignment="1">
      <x:alignment horizontal="center" vertical="center" wrapText="1"/>
    </x:xf>
    <x:xf numFmtId="0" fontId="1" fillId="12" borderId="3" xfId="0" applyNumberFormat="1" applyFont="1" applyFill="1" applyBorder="1" applyAlignment="1">
      <x:alignment vertical="center" wrapText="1"/>
    </x:xf>
    <x:xf numFmtId="202" fontId="1" fillId="12" borderId="3" xfId="0" applyNumberFormat="1" applyFont="1" applyFill="1" applyBorder="1" applyAlignment="1">
      <x:alignment horizontal="center" vertical="center" wrapText="1"/>
    </x:xf>
    <x:xf numFmtId="0" fontId="1" fillId="12" borderId="3" xfId="0" applyNumberFormat="1" applyFont="1" applyFill="1" applyBorder="1" applyAlignment="1">
      <x:alignment horizontal="center" vertical="center" wrapText="1"/>
    </x:xf>
    <x:xf numFmtId="0" fontId="12" fillId="12" borderId="1" xfId="0" applyNumberFormat="1" applyFont="1" applyFill="1" applyBorder="1" applyAlignment="1">
      <x:alignment vertical="center" wrapText="1"/>
    </x:xf>
    <x:xf numFmtId="0" fontId="12" fillId="12" borderId="2" xfId="0" applyNumberFormat="1" applyFont="1" applyFill="1" applyBorder="1" applyAlignment="1">
      <x:alignment vertical="center" wrapText="1"/>
    </x:xf>
    <x:xf numFmtId="0" fontId="12" fillId="12" borderId="3" xfId="0" applyNumberFormat="1" applyFont="1" applyFill="1" applyBorder="1" applyAlignment="1">
      <x:alignment vertical="center" wrapText="1"/>
    </x:xf>
    <x:xf numFmtId="0" fontId="12" fillId="2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2" borderId="1" xfId="0" applyNumberFormat="1" applyFont="1" applyFill="1" applyBorder="1" applyAlignment="1">
      <x:alignment vertical="center" wrapText="1"/>
    </x:xf>
    <x:xf numFmtId="202" fontId="1" fillId="2" borderId="2" xfId="0" applyNumberFormat="1" applyFont="1" applyFill="1" applyBorder="1" applyAlignment="1">
      <x:alignment vertical="center" wrapText="1"/>
    </x:xf>
    <x:xf numFmtId="202" fontId="1" fillId="2" borderId="3" xfId="0" applyNumberFormat="1" applyFont="1" applyFill="1" applyBorder="1" applyAlignment="1">
      <x:alignment vertical="center" wrapText="1"/>
    </x:xf>
    <x:xf numFmtId="0" fontId="12" fillId="2" borderId="1" xfId="0" applyNumberFormat="1" applyFont="1" applyFill="1" applyBorder="1" applyAlignment="1">
      <x:alignment vertical="center" wrapText="1"/>
    </x:xf>
    <x:xf numFmtId="0" fontId="12" fillId="2" borderId="2" xfId="0" applyNumberFormat="1" applyFont="1" applyFill="1" applyBorder="1" applyAlignment="1">
      <x:alignment vertical="center" wrapText="1"/>
    </x:xf>
    <x:xf numFmtId="0" fontId="12" fillId="2" borderId="3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0" fontId="14" fillId="1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94"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F6FAE"/>
      </x:font>
      <x:fill>
        <x:patternFill patternType="solid">
          <x:bgColor rgb="FFDCEAF7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font>
        <x:b/>
        <x:color rgb="FF24633A"/>
      </x:font>
      <x:fill>
        <x:patternFill patternType="solid">
          <x:bgColor rgb="FFE6F2E9"/>
        </x:patternFill>
      </x:fill>
    </x:dxf>
    <x:dxf>
      <x:font>
        <x:b/>
        <x:color rgb="FF205C92"/>
      </x:font>
      <x:fill>
        <x:patternFill patternType="solid">
          <x:bgColor rgb="FFE4EFFA"/>
        </x:patternFill>
      </x:fill>
    </x:dxf>
    <x:dxf>
      <x:font>
        <x:b/>
        <x:color rgb="FF9D3027"/>
      </x:font>
      <x:fill>
        <x:patternFill patternType="solid">
          <x:bgColor rgb="FFFBE8E6"/>
        </x:patternFill>
      </x:fill>
    </x:dxf>
    <x:dxf>
      <x:border>
        <x:top style="medium">
          <x:color rgb="FF9AADC1"/>
        </x:top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6d910085a44926" /><Relationship Type="http://schemas.openxmlformats.org/officeDocument/2006/relationships/theme" Target="/xl/theme/theme1.xml" Id="R250e9c68f45c4256" /><Relationship Type="http://schemas.openxmlformats.org/officeDocument/2006/relationships/sharedStrings" Target="/xl/sharedStrings.xml" Id="R705b53a65dde4da1" /><Relationship Type="http://schemas.openxmlformats.org/officeDocument/2006/relationships/worksheet" Target="/xl/worksheets/sheet1.xml" Id="Rcdf3f5e0a9e84841" /><Relationship Type="http://schemas.openxmlformats.org/officeDocument/2006/relationships/worksheet" Target="/xl/worksheets/sheet2.xml" Id="Rb61beb9fa84b419f" /><Relationship Type="http://schemas.openxmlformats.org/officeDocument/2006/relationships/worksheet" Target="/xl/worksheets/sheet3.xml" Id="R9fa16eb3cad241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314F"/>
    <x:pageSetUpPr fitToPage="1" autoPageBreaks="0"/>
  </x:sheetPr>
  <x:sheetViews>
    <x:sheetView showGridLines="0" workbookViewId="0" zoomScale="85" topLeftCell="A1">
      <x:pane xSplit="3" ySplit="9" topLeftCell="D10" activePane="bottomRight" state="frozen"/>
    </x:sheetView>
  </x:sheetViews>
  <x:sheetFormatPr defaultRowHeight="15"/>
  <x:cols>
    <x:col min="1" max="1" width="10.0029" hidden="0" customWidth="1"/>
    <x:col min="2" max="2" width="11.7129" hidden="0" customWidth="1"/>
    <x:col min="3" max="3" width="30.7157" hidden="0" customWidth="1"/>
    <x:col min="4" max="4" width="15.4286" hidden="0" customWidth="1"/>
    <x:col min="5" max="5" width="24.8529" hidden="0" customWidth="1"/>
    <x:col min="6" max="6" width="8.8586" hidden="0" customWidth="1"/>
    <x:col min="7" max="7" width="8.8586" hidden="0" customWidth="1"/>
    <x:col min="8" max="8" width="9.4243" hidden="0" customWidth="1"/>
    <x:col min="9" max="9" width="21.4329" hidden="0" customWidth="1"/>
    <x:col min="10" max="10" width="8.5757" hidden="0" customWidth="1"/>
    <x:col min="11" max="11" width="3.5743" hidden="0" customWidth="1"/>
    <x:col min="12" max="12" width="3.5743" hidden="0" customWidth="1"/>
    <x:col min="13" max="13" width="3.5743" hidden="0" customWidth="1"/>
    <x:col min="14" max="14" width="3.5743" hidden="0" customWidth="1"/>
    <x:col min="15" max="15" width="3.5743" hidden="0" customWidth="1"/>
    <x:col min="16" max="16" width="3.5743" hidden="0" customWidth="1"/>
    <x:col min="17" max="17" width="3.5743" hidden="0" customWidth="1"/>
    <x:col min="18" max="18" width="3.5743" hidden="0" customWidth="1"/>
    <x:col min="19" max="19" width="3.5743" hidden="0" customWidth="1"/>
    <x:col min="20" max="20" width="3.5743" hidden="0" customWidth="1"/>
    <x:col min="21" max="21" width="3.5743" hidden="0" customWidth="1"/>
    <x:col min="22" max="22" width="3.5743" hidden="0" customWidth="1"/>
    <x:col min="23" max="23" width="3.5743" hidden="0" customWidth="1"/>
    <x:col min="24" max="24" width="3.5743" hidden="0" customWidth="1"/>
    <x:col min="25" max="25" width="3.5743" hidden="0" customWidth="1"/>
    <x:col min="26" max="26" width="3.5743" hidden="0" customWidth="1"/>
    <x:col min="27" max="27" width="3.5743" hidden="0" customWidth="1"/>
    <x:col min="28" max="28" width="3.5743" hidden="0" customWidth="1"/>
    <x:col min="29" max="29" width="3.5743" hidden="0" customWidth="1"/>
    <x:col min="30" max="30" width="3.5743" hidden="0" customWidth="1"/>
    <x:col min="31" max="31" width="3.5743" hidden="0" customWidth="1"/>
    <x:col min="32" max="32" width="3.5743" hidden="0" customWidth="1"/>
    <x:col min="33" max="33" width="3.5743" hidden="0" customWidth="1"/>
    <x:col min="34" max="34" width="3.5743" hidden="0" customWidth="1"/>
    <x:col min="35" max="35" width="3.5743" hidden="0" customWidth="1"/>
    <x:col min="36" max="36" width="3.5743" hidden="0" customWidth="1"/>
    <x:col min="37" max="37" width="3.5743" hidden="0" customWidth="1"/>
    <x:col min="38" max="38" width="3.5743" hidden="0" customWidth="1"/>
    <x:col min="39" max="39" width="15.7114" hidden="0" customWidth="1"/>
    <x:col min="40" max="40" width="11.43" hidden="0" customWidth="1"/>
    <x:col min="41" max="41" width="11.43" hidden="0" customWidth="1"/>
    <x:col min="42" max="42" width="58.5771" hidden="0" customWidth="1"/>
    <x:col min="43" max="43" width="42.8529" hidden="0" customWidth="1"/>
    <x:col min="44" max="44" width="15.7114" hidden="1" customWidth="1"/>
    <x:col min="45" max="45" width="15.7114" hidden="1" customWidth="1"/>
    <x:col min="46" max="46" width="15.7114" hidden="1" customWidth="1"/>
    <x:col min="47" max="47" width="15.7114" hidden="1" customWidth="1"/>
    <x:col min="48" max="48" width="15.7114" hidden="1" customWidth="1"/>
    <x:col min="49" max="49" width="25.7143" hidden="0" customWidth="1"/>
    <x:col min="50" max="50" width="21.4329" hidden="0" customWidth="1"/>
    <x:col min="51" max="51" width="42.8529" hidden="0" customWidth="1"/>
  </x:cols>
  <x:sheetData>
    <x:row r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  <x:c r="AV1" s="4"/>
      <x:c r="AW1" s="4"/>
      <x:c r="AX1" s="4"/>
    </x:row>
    <x:row r="2" ht="30" customHeight="1">
      <x:c r="A2" s="5" t="str">
        <x:v>OTTer Shield   전체 WBS</x:v>
      </x:c>
      <x:c r="B2" s="5"/>
      <x:c r="C2" s="5"/>
      <x:c r="D2" s="5"/>
      <x:c r="E2" s="5"/>
      <x:c r="F2" s="5"/>
      <x:c r="G2" s="5"/>
      <x:c r="H2" s="5"/>
      <x:c r="I2" s="5"/>
      <x:c r="J2" s="5"/>
      <x:c r="K2" s="6" t="str">
        <x:v>Team Blocks   인프라·개발·보안 통합 일정</x:v>
      </x:c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  <x:c r="AI2" s="6"/>
      <x:c r="AJ2" s="6"/>
      <x:c r="AK2" s="6"/>
      <x:c r="AL2" s="6"/>
      <x:c r="AM2" s="4"/>
      <x:c r="AN2" s="4"/>
      <x:c r="AO2" s="4"/>
      <x:c r="AP2" s="4"/>
      <x:c r="AQ2" s="4"/>
      <x:c r="AR2" s="4"/>
      <x:c r="AS2" s="4"/>
      <x:c r="AT2" s="4"/>
      <x:c r="AU2" s="4"/>
      <x:c r="AV2" s="4"/>
      <x:c r="AW2" s="4"/>
      <x:c r="AX2" s="4"/>
    </x:row>
    <x:row r="3" ht="23" customHeight="1">
      <x:c r="A3" s="4" t="str">
        <x:v>기준일</x:v>
      </x:c>
      <x:c r="B3" s="4"/>
      <x:c r="C3" s="7">
        <x:v>46317</x:v>
      </x:c>
      <x:c r="D3" s="8" t="str">
        <x:v>2026.10.22 개정 / Issue·10/21 회의 반영</x:v>
      </x:c>
      <x:c r="E3" s="8"/>
      <x:c r="F3" s="8"/>
      <x:c r="G3" s="8"/>
      <x:c r="H3" s="8"/>
      <x:c r="I3" s="8"/>
      <x:c r="J3" s="8"/>
      <x:c r="K3" s="8" t="str">
        <x:v>완료는 해당 작업 범위 기준. 토폴로지 등록과 전체 망 기술 검토는 별도.</x:v>
      </x:c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  <x:c r="Z3" s="8"/>
      <x:c r="AA3" s="8"/>
      <x:c r="AB3" s="8"/>
      <x:c r="AC3" s="8"/>
      <x:c r="AD3" s="8"/>
      <x:c r="AE3" s="8"/>
      <x:c r="AF3" s="8"/>
      <x:c r="AG3" s="8"/>
      <x:c r="AH3" s="8"/>
      <x:c r="AI3" s="8"/>
      <x:c r="AJ3" s="8"/>
      <x:c r="AK3" s="8"/>
      <x:c r="AL3" s="8"/>
      <x:c r="AM3" s="4"/>
      <x:c r="AN3" s="4"/>
      <x:c r="AO3" s="4"/>
      <x:c r="AP3" s="4"/>
      <x:c r="AQ3" s="4"/>
      <x:c r="AR3" s="4"/>
      <x:c r="AS3" s="4"/>
      <x:c r="AT3" s="4"/>
      <x:c r="AU3" s="4"/>
      <x:c r="AV3" s="4"/>
      <x:c r="AW3" s="4"/>
      <x:c r="AX3" s="4"/>
    </x:row>
    <x:row r="4" ht="24" customHeight="1">
      <x:c r="A4" s="10" t="str">
        <x:v>입력: A–I / 자동: J·간트·조회 시트 / 분할 구간·근거: 오른쪽 AN–AX</x:v>
      </x:c>
      <x:c r="B4" s="10"/>
      <x:c r="C4" s="10"/>
      <x:c r="D4" s="10"/>
      <x:c r="E4" s="10"/>
      <x:c r="F4" s="10"/>
      <x:c r="G4" s="10"/>
      <x:c r="H4" s="10"/>
      <x:c r="I4" s="10"/>
      <x:c r="J4" s="10"/>
      <x:c r="K4" s="12" t="str">
        <x:v>예정</x:v>
      </x:c>
      <x:c r="L4" s="12"/>
      <x:c r="M4" s="12"/>
      <x:c r="N4" s="12"/>
      <x:c r="O4" s="14" t="str">
        <x:v>주말</x:v>
      </x:c>
      <x:c r="P4" s="14"/>
      <x:c r="Q4" s="14"/>
      <x:c r="R4" s="14"/>
      <x:c r="S4" s="15" t="str">
        <x:v>◆ 주요 마감</x:v>
      </x:c>
      <x:c r="T4" s="15"/>
      <x:c r="U4" s="15"/>
      <x:c r="V4" s="15"/>
      <x:c r="W4" s="15"/>
      <x:c r="X4" s="8" t="str">
        <x:v>세로선: 기준일 / 파란색은 실적 아님</x:v>
      </x:c>
      <x:c r="Y4" s="8"/>
      <x:c r="Z4" s="8"/>
      <x:c r="AA4" s="8"/>
      <x:c r="AB4" s="8"/>
      <x:c r="AC4" s="8"/>
      <x:c r="AD4" s="8"/>
      <x:c r="AE4" s="8"/>
      <x:c r="AF4" s="8"/>
      <x:c r="AG4" s="8"/>
      <x:c r="AH4" s="8"/>
      <x:c r="AI4" s="8"/>
      <x:c r="AJ4" s="8"/>
      <x:c r="AK4" s="8"/>
      <x:c r="AL4" s="8"/>
      <x:c r="AM4" s="4"/>
      <x:c r="AN4" s="4"/>
      <x:c r="AO4" s="4"/>
      <x:c r="AP4" s="4"/>
      <x:c r="AQ4" s="4"/>
      <x:c r="AR4" s="4"/>
      <x:c r="AS4" s="4"/>
      <x:c r="AT4" s="4"/>
      <x:c r="AU4" s="4"/>
      <x:c r="AV4" s="4"/>
      <x:c r="AW4" s="4"/>
      <x:c r="AX4" s="4"/>
    </x:row>
    <x:row r="5" ht="24" customHeight="1">
      <x:c r="A5" s="16" t="str">
        <x:v>10/23 환경·공수 확인 → 10/28 기본망·OTT 기능 → 10/30 배포·Store 점검</x:v>
      </x:c>
      <x:c r="B5" s="16"/>
      <x:c r="C5" s="16"/>
      <x:c r="D5" s="16"/>
      <x:c r="E5" s="16"/>
      <x:c r="F5" s="16"/>
      <x:c r="G5" s="16"/>
      <x:c r="H5" s="16"/>
      <x:c r="I5" s="16"/>
      <x:c r="J5" s="16"/>
      <x:c r="K5" s="8" t="str">
        <x:v>기간은 목표 일정. 확인되지 않은 실제 진척·투입시간은 추정하지 않음.</x:v>
      </x:c>
      <x:c r="L5" s="8"/>
      <x:c r="M5" s="8"/>
      <x:c r="N5" s="8"/>
      <x:c r="O5" s="8"/>
      <x:c r="P5" s="8"/>
      <x:c r="Q5" s="8"/>
      <x:c r="R5" s="8"/>
      <x:c r="S5" s="8"/>
      <x:c r="T5" s="8"/>
      <x:c r="U5" s="8"/>
      <x:c r="V5" s="8"/>
      <x:c r="W5" s="8"/>
      <x:c r="X5" s="8"/>
      <x:c r="Y5" s="8"/>
      <x:c r="Z5" s="8"/>
      <x:c r="AA5" s="8"/>
      <x:c r="AB5" s="8"/>
      <x:c r="AC5" s="8"/>
      <x:c r="AD5" s="8"/>
      <x:c r="AE5" s="8"/>
      <x:c r="AF5" s="8"/>
      <x:c r="AG5" s="8"/>
      <x:c r="AH5" s="8"/>
      <x:c r="AI5" s="8"/>
      <x:c r="AJ5" s="8"/>
      <x:c r="AK5" s="8"/>
      <x:c r="AL5" s="8"/>
      <x:c r="AM5" s="4"/>
      <x:c r="AN5" s="4"/>
      <x:c r="AO5" s="4"/>
      <x:c r="AP5" s="4"/>
      <x:c r="AQ5" s="4"/>
      <x:c r="AR5" s="4"/>
      <x:c r="AS5" s="4"/>
      <x:c r="AT5" s="4"/>
      <x:c r="AU5" s="4"/>
      <x:c r="AV5" s="4"/>
      <x:c r="AW5" s="4"/>
      <x:c r="AX5" s="4"/>
    </x:row>
    <x:row r="6" ht="22" customHeight="1">
      <x:c r="A6" s="8" t="str">
        <x:v>공동 작업은 한 행에서 관리하고 관련 Issue를 연결. 빈 날짜는 예정 미지정.</x:v>
      </x:c>
      <x:c r="B6" s="8"/>
      <x:c r="C6" s="8"/>
      <x:c r="D6" s="8"/>
      <x:c r="E6" s="8"/>
      <x:c r="F6" s="8"/>
      <x:c r="G6" s="8"/>
      <x:c r="H6" s="8"/>
      <x:c r="I6" s="8"/>
      <x:c r="J6" s="8"/>
      <x:c r="K6" s="8" t="str">
        <x:v>M1–M3 일반 라우팅 결정·계획서 제출 완료. 전체 망 기술 검토는 별도 확인.</x:v>
      </x:c>
      <x:c r="L6" s="8"/>
      <x:c r="M6" s="8"/>
      <x:c r="N6" s="8"/>
      <x:c r="O6" s="8"/>
      <x:c r="P6" s="8"/>
      <x:c r="Q6" s="8"/>
      <x:c r="R6" s="8"/>
      <x:c r="S6" s="8"/>
      <x:c r="T6" s="8"/>
      <x:c r="U6" s="8"/>
      <x:c r="V6" s="8"/>
      <x:c r="W6" s="8"/>
      <x:c r="X6" s="8"/>
      <x:c r="Y6" s="8"/>
      <x:c r="Z6" s="8"/>
      <x:c r="AA6" s="8"/>
      <x:c r="AB6" s="8"/>
      <x:c r="AC6" s="8"/>
      <x:c r="AD6" s="8"/>
      <x:c r="AE6" s="8"/>
      <x:c r="AF6" s="8"/>
      <x:c r="AG6" s="8"/>
      <x:c r="AH6" s="8"/>
      <x:c r="AI6" s="8"/>
      <x:c r="AJ6" s="8"/>
      <x:c r="AK6" s="8"/>
      <x:c r="AL6" s="8"/>
      <x:c r="AM6" s="4"/>
      <x:c r="AN6" s="4"/>
      <x:c r="AO6" s="4"/>
      <x:c r="AP6" s="4"/>
      <x:c r="AQ6" s="4"/>
      <x:c r="AR6" s="4"/>
      <x:c r="AS6" s="4"/>
      <x:c r="AT6" s="4"/>
      <x:c r="AU6" s="4"/>
      <x:c r="AV6" s="4"/>
      <x:c r="AW6" s="4"/>
      <x:c r="AX6" s="4"/>
    </x:row>
    <x:row r="7" ht="20" customHeight="1">
      <x:c r="A7" s="18" t="str">
        <x:v>업무 원본   인프라 5개 망 + 병행 개발 D1–D8</x:v>
      </x:c>
      <x:c r="B7" s="18"/>
      <x:c r="C7" s="18"/>
      <x:c r="D7" s="18"/>
      <x:c r="E7" s="18"/>
      <x:c r="F7" s="18"/>
      <x:c r="G7" s="18"/>
      <x:c r="H7" s="18"/>
      <x:c r="I7" s="18"/>
      <x:c r="J7" s="18"/>
      <x:c r="K7" s="21" t="str">
        <x:v>2026년 10월</x:v>
      </x:c>
      <x:c r="L7" s="21"/>
      <x:c r="M7" s="21"/>
      <x:c r="N7" s="21"/>
      <x:c r="O7" s="21"/>
      <x:c r="P7" s="21"/>
      <x:c r="Q7" s="79"/>
      <x:c r="R7" s="21"/>
      <x:c r="S7" s="21"/>
      <x:c r="T7" s="21"/>
      <x:c r="U7" s="21"/>
      <x:c r="V7" s="21"/>
      <x:c r="W7" s="79" t="str">
        <x:v>2026년 11월</x:v>
      </x:c>
      <x:c r="X7" s="79"/>
      <x:c r="Y7" s="21"/>
      <x:c r="Z7" s="21"/>
      <x:c r="AA7" s="21"/>
      <x:c r="AB7" s="21"/>
      <x:c r="AC7" s="21"/>
      <x:c r="AD7" s="21"/>
      <x:c r="AE7" s="79"/>
      <x:c r="AF7" s="21"/>
      <x:c r="AG7" s="21"/>
      <x:c r="AH7" s="21"/>
      <x:c r="AI7" s="21"/>
      <x:c r="AJ7" s="21"/>
      <x:c r="AK7" s="21"/>
      <x:c r="AL7" s="79"/>
      <x:c r="AM7" s="4"/>
      <x:c r="AN7" s="4"/>
      <x:c r="AO7" s="4"/>
      <x:c r="AP7" s="4"/>
      <x:c r="AQ7" s="4"/>
      <x:c r="AR7" s="4"/>
      <x:c r="AS7" s="4"/>
      <x:c r="AT7" s="4"/>
      <x:c r="AU7" s="4"/>
      <x:c r="AV7" s="4"/>
      <x:c r="AW7" s="4"/>
      <x:c r="AX7" s="4"/>
    </x:row>
    <x:row r="8" ht="20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25" t="str">
        <x:v>10/19 주</x:v>
      </x:c>
      <x:c r="L8" s="25"/>
      <x:c r="M8" s="25"/>
      <x:c r="N8" s="25"/>
      <x:c r="O8" s="25"/>
      <x:c r="P8" s="25"/>
      <x:c r="Q8" s="80" t="str">
        <x:v>10/26 주</x:v>
      </x:c>
      <x:c r="R8" s="25"/>
      <x:c r="S8" s="25"/>
      <x:c r="T8" s="25"/>
      <x:c r="U8" s="25"/>
      <x:c r="V8" s="25"/>
      <x:c r="W8" s="80"/>
      <x:c r="X8" s="80" t="str">
        <x:v>11/02 주</x:v>
      </x:c>
      <x:c r="Y8" s="25"/>
      <x:c r="Z8" s="25"/>
      <x:c r="AA8" s="25"/>
      <x:c r="AB8" s="25"/>
      <x:c r="AC8" s="25"/>
      <x:c r="AD8" s="25"/>
      <x:c r="AE8" s="80" t="str">
        <x:v>11/09 주</x:v>
      </x:c>
      <x:c r="AF8" s="25"/>
      <x:c r="AG8" s="25"/>
      <x:c r="AH8" s="25"/>
      <x:c r="AI8" s="25"/>
      <x:c r="AJ8" s="25"/>
      <x:c r="AK8" s="25"/>
      <x:c r="AL8" s="80" t="str"/>
      <x:c r="AM8" s="4"/>
      <x:c r="AN8" s="4"/>
      <x:c r="AO8" s="4"/>
      <x:c r="AP8" s="4"/>
      <x:c r="AQ8" s="4"/>
      <x:c r="AR8" s="4"/>
      <x:c r="AS8" s="4"/>
      <x:c r="AT8" s="4"/>
      <x:c r="AU8" s="4"/>
      <x:c r="AV8" s="4"/>
      <x:c r="AW8" s="4"/>
      <x:c r="AX8" s="4"/>
    </x:row>
    <x:row r="9" ht="28" customHeight="1">
      <x:c r="A9" s="21" t="str">
        <x:v>WBS ID</x:v>
      </x:c>
      <x:c r="B9" s="21" t="str">
        <x:v>구분</x:v>
      </x:c>
      <x:c r="C9" s="21" t="str">
        <x:v>작업명</x:v>
      </x:c>
      <x:c r="D9" s="21" t="str">
        <x:v>주담당</x:v>
      </x:c>
      <x:c r="E9" s="21" t="str">
        <x:v>협업 담당</x:v>
      </x:c>
      <x:c r="F9" s="21" t="str">
        <x:v>시작일</x:v>
      </x:c>
      <x:c r="G9" s="21" t="str">
        <x:v>마감일</x:v>
      </x:c>
      <x:c r="H9" s="21" t="str">
        <x:v>상태</x:v>
      </x:c>
      <x:c r="I9" s="21" t="str">
        <x:v>선행 업무 ID</x:v>
      </x:c>
      <x:c r="J9" s="21" t="str">
        <x:v>Issue</x:v>
      </x:c>
      <x:c r="K9" s="29" t="n">
        <x:v>46315</x:v>
      </x:c>
      <x:c r="L9" s="72" t="n">
        <x:v>46316</x:v>
      </x:c>
      <x:c r="M9" s="29" t="n">
        <x:v>46317</x:v>
      </x:c>
      <x:c r="N9" s="29" t="n">
        <x:v>46318</x:v>
      </x:c>
      <x:c r="O9" s="78" t="n">
        <x:v>46319</x:v>
      </x:c>
      <x:c r="P9" s="78" t="n">
        <x:v>46320</x:v>
      </x:c>
      <x:c r="Q9" s="81" t="n">
        <x:v>46321</x:v>
      </x:c>
      <x:c r="R9" s="29" t="n">
        <x:v>46322</x:v>
      </x:c>
      <x:c r="S9" s="29" t="n">
        <x:v>46323</x:v>
      </x:c>
      <x:c r="T9" s="29" t="n">
        <x:v>46324</x:v>
      </x:c>
      <x:c r="U9" s="29" t="n">
        <x:v>46325</x:v>
      </x:c>
      <x:c r="V9" s="78" t="n">
        <x:v>46326</x:v>
      </x:c>
      <x:c r="W9" s="85" t="n">
        <x:v>46327</x:v>
      </x:c>
      <x:c r="X9" s="81" t="n">
        <x:v>46328</x:v>
      </x:c>
      <x:c r="Y9" s="29" t="n">
        <x:v>46329</x:v>
      </x:c>
      <x:c r="Z9" s="29" t="n">
        <x:v>46330</x:v>
      </x:c>
      <x:c r="AA9" s="29" t="n">
        <x:v>46331</x:v>
      </x:c>
      <x:c r="AB9" s="29" t="n">
        <x:v>46332</x:v>
      </x:c>
      <x:c r="AC9" s="78" t="n">
        <x:v>46333</x:v>
      </x:c>
      <x:c r="AD9" s="78" t="n">
        <x:v>46334</x:v>
      </x:c>
      <x:c r="AE9" s="81" t="n">
        <x:v>46335</x:v>
      </x:c>
      <x:c r="AF9" s="29" t="n">
        <x:v>46336</x:v>
      </x:c>
      <x:c r="AG9" s="29" t="n">
        <x:v>46337</x:v>
      </x:c>
      <x:c r="AH9" s="29" t="n">
        <x:v>46338</x:v>
      </x:c>
      <x:c r="AI9" s="29" t="n">
        <x:v>46339</x:v>
      </x:c>
      <x:c r="AJ9" s="78" t="n">
        <x:v>46340</x:v>
      </x:c>
      <x:c r="AK9" s="78" t="n">
        <x:v>46341</x:v>
      </x:c>
      <x:c r="AL9" s="81" t="n">
        <x:v>46342</x:v>
      </x:c>
      <x:c r="AM9" s="48" t="str">
        <x:v>단계</x:v>
      </x:c>
      <x:c r="AN9" s="48" t="str">
        <x:v>첫 구간 종료</x:v>
      </x:c>
      <x:c r="AO9" s="48" t="str">
        <x:v>다음 구간 시작</x:v>
      </x:c>
      <x:c r="AP9" s="48" t="str">
        <x:v>일정·연결 근거</x:v>
      </x:c>
      <x:c r="AQ9" s="48" t="str">
        <x:v>상태 근거</x:v>
      </x:c>
      <x:c r="AR9" s="48" t="str">
        <x:v>M1 유용수</x:v>
      </x:c>
      <x:c r="AS9" s="48" t="str">
        <x:v>M2 윤서영</x:v>
      </x:c>
      <x:c r="AT9" s="48" t="str">
        <x:v>M3 홍은서</x:v>
      </x:c>
      <x:c r="AU9" s="48" t="str">
        <x:v>M4 박진혁</x:v>
      </x:c>
      <x:c r="AV9" s="48" t="str">
        <x:v>M5 유은혜</x:v>
      </x:c>
      <x:c r="AW9" s="48" t="str">
        <x:v>원문 URL</x:v>
      </x:c>
      <x:c r="AX9" s="48" t="str">
        <x:v>관련 Issue</x:v>
      </x:c>
      <x:c r="AY9" s="106" t="str">
        <x:v>인계 조건·순서</x:v>
      </x:c>
    </x:row>
    <x:row r="10" ht="24" customHeight="1">
      <x:c r="A10" s="56"/>
      <x:c r="B10" s="56"/>
      <x:c r="C10" s="56" t="str">
        <x:v>01 AS-IS 네트워크 설계</x:v>
      </x:c>
      <x:c r="D10" s="56"/>
      <x:c r="E10" s="56"/>
      <x:c r="F10" s="57"/>
      <x:c r="G10" s="57"/>
      <x:c r="H10" s="58"/>
      <x:c r="I10" s="56"/>
      <x:c r="J10" s="56"/>
      <x:c r="K10" s="58"/>
      <x:c r="L10" s="73"/>
      <x:c r="M10" s="58"/>
      <x:c r="N10" s="58"/>
      <x:c r="O10" s="58"/>
      <x:c r="P10" s="58"/>
      <x:c r="Q10" s="82"/>
      <x:c r="R10" s="58"/>
      <x:c r="S10" s="58"/>
      <x:c r="T10" s="58"/>
      <x:c r="U10" s="58"/>
      <x:c r="V10" s="58"/>
      <x:c r="W10" s="82"/>
      <x:c r="X10" s="82"/>
      <x:c r="Y10" s="58"/>
      <x:c r="Z10" s="58"/>
      <x:c r="AA10" s="58"/>
      <x:c r="AB10" s="58"/>
      <x:c r="AC10" s="58"/>
      <x:c r="AD10" s="58"/>
      <x:c r="AE10" s="82"/>
      <x:c r="AF10" s="58"/>
      <x:c r="AG10" s="58"/>
      <x:c r="AH10" s="58"/>
      <x:c r="AI10" s="58"/>
      <x:c r="AJ10" s="58"/>
      <x:c r="AK10" s="58"/>
      <x:c r="AL10" s="82"/>
      <x:c r="AM10" s="4"/>
      <x:c r="AN10" s="49"/>
      <x:c r="AO10" s="49"/>
      <x:c r="AP10" s="4"/>
      <x:c r="AQ10" s="4"/>
      <x:c r="AR10" s="4" t="n">
        <x:v>1000000000</x:v>
      </x:c>
      <x:c r="AS10" s="4" t="n">
        <x:v>1000000000</x:v>
      </x:c>
      <x:c r="AT10" s="4" t="n">
        <x:v>1000000000</x:v>
      </x:c>
      <x:c r="AU10" s="4" t="n">
        <x:v>1000000000</x:v>
      </x:c>
      <x:c r="AV10" s="4" t="n">
        <x:v>1000000000</x:v>
      </x:c>
      <x:c r="AW10" s="4"/>
      <x:c r="AX10" s="4"/>
      <x:c r="AY10" s="106"/>
    </x:row>
    <x:row r="11" ht="39" customHeight="1">
      <x:c r="A11" s="66" t="str">
        <x:v>I01</x:v>
      </x:c>
      <x:c r="B11" s="67" t="str">
        <x:v>인프라</x:v>
      </x:c>
      <x:c r="C11" s="31" t="str">
        <x:v>한국 본사 AS-IS 토폴로지 작성</x:v>
      </x:c>
      <x:c r="D11" s="31" t="str">
        <x:v>M1 유용수</x:v>
      </x:c>
      <x:c r="E11" s="31" t="str">
        <x:v>M3 홍은서</x:v>
      </x:c>
      <x:c r="F11" s="41" t="n">
        <x:v>46315</x:v>
      </x:c>
      <x:c r="G11" s="41" t="n">
        <x:v>46316</x:v>
      </x:c>
      <x:c r="H11" s="42" t="str">
        <x:v>완료</x:v>
      </x:c>
      <x:c r="I11" s="31" t="str">
        <x:v>—</x:v>
      </x:c>
      <x:c r="J11" s="65" t="str">
        <x:f>HYPERLINK($AW11,"#1")</x:f>
        <x:v>#1</x:v>
      </x:c>
      <x:c r="K11" s="34" t="str">
        <x:f>IF(AND(ISNUMBER($G11),K$9=$G11),"◆","")</x:f>
        <x:v/>
      </x:c>
      <x:c r="L11" s="74" t="str">
        <x:f>IF(AND(ISNUMBER($G11),L$9=$G11),"◆","")</x:f>
        <x:v>◆</x:v>
      </x:c>
      <x:c r="M11" s="34" t="str">
        <x:f>IF(AND(ISNUMBER($G11),M$9=$G11),"◆","")</x:f>
        <x:v/>
      </x:c>
      <x:c r="N11" s="34" t="str">
        <x:f>IF(AND(ISNUMBER($G11),N$9=$G11),"◆","")</x:f>
        <x:v/>
      </x:c>
      <x:c r="O11" s="76" t="str">
        <x:f>IF(AND(ISNUMBER($G11),O$9=$G11),"◆","")</x:f>
        <x:v/>
      </x:c>
      <x:c r="P11" s="76" t="str">
        <x:f>IF(AND(ISNUMBER($G11),P$9=$G11),"◆","")</x:f>
        <x:v/>
      </x:c>
      <x:c r="Q11" s="83" t="str">
        <x:f>IF(AND(ISNUMBER($G11),Q$9=$G11),"◆","")</x:f>
        <x:v/>
      </x:c>
      <x:c r="R11" s="34" t="str">
        <x:f>IF(AND(ISNUMBER($G11),R$9=$G11),"◆","")</x:f>
        <x:v/>
      </x:c>
      <x:c r="S11" s="34" t="str">
        <x:f>IF(AND(ISNUMBER($G11),S$9=$G11),"◆","")</x:f>
        <x:v/>
      </x:c>
      <x:c r="T11" s="34" t="str">
        <x:f>IF(AND(ISNUMBER($G11),T$9=$G11),"◆","")</x:f>
        <x:v/>
      </x:c>
      <x:c r="U11" s="34" t="str">
        <x:f>IF(AND(ISNUMBER($G11),U$9=$G11),"◆","")</x:f>
        <x:v/>
      </x:c>
      <x:c r="V11" s="76" t="str">
        <x:f>IF(AND(ISNUMBER($G11),V$9=$G11),"◆","")</x:f>
        <x:v/>
      </x:c>
      <x:c r="W11" s="86" t="str">
        <x:f>IF(AND(ISNUMBER($G11),W$9=$G11),"◆","")</x:f>
        <x:v/>
      </x:c>
      <x:c r="X11" s="83" t="str">
        <x:f>IF(AND(ISNUMBER($G11),X$9=$G11),"◆","")</x:f>
        <x:v/>
      </x:c>
      <x:c r="Y11" s="34" t="str">
        <x:f>IF(AND(ISNUMBER($G11),Y$9=$G11),"◆","")</x:f>
        <x:v/>
      </x:c>
      <x:c r="Z11" s="34" t="str">
        <x:f>IF(AND(ISNUMBER($G11),Z$9=$G11),"◆","")</x:f>
        <x:v/>
      </x:c>
      <x:c r="AA11" s="34" t="str">
        <x:f>IF(AND(ISNUMBER($G11),AA$9=$G11),"◆","")</x:f>
        <x:v/>
      </x:c>
      <x:c r="AB11" s="34" t="str">
        <x:f>IF(AND(ISNUMBER($G11),AB$9=$G11),"◆","")</x:f>
        <x:v/>
      </x:c>
      <x:c r="AC11" s="76" t="str">
        <x:f>IF(AND(ISNUMBER($G11),AC$9=$G11),"◆","")</x:f>
        <x:v/>
      </x:c>
      <x:c r="AD11" s="76" t="str">
        <x:f>IF(AND(ISNUMBER($G11),AD$9=$G11),"◆","")</x:f>
        <x:v/>
      </x:c>
      <x:c r="AE11" s="83" t="str">
        <x:f>IF(AND(ISNUMBER($G11),AE$9=$G11),"◆","")</x:f>
        <x:v/>
      </x:c>
      <x:c r="AF11" s="34" t="str">
        <x:f>IF(AND(ISNUMBER($G11),AF$9=$G11),"◆","")</x:f>
        <x:v/>
      </x:c>
      <x:c r="AG11" s="34" t="str">
        <x:f>IF(AND(ISNUMBER($G11),AG$9=$G11),"◆","")</x:f>
        <x:v/>
      </x:c>
      <x:c r="AH11" s="34" t="str">
        <x:f>IF(AND(ISNUMBER($G11),AH$9=$G11),"◆","")</x:f>
        <x:v/>
      </x:c>
      <x:c r="AI11" s="34" t="str">
        <x:f>IF(AND(ISNUMBER($G11),AI$9=$G11),"◆","")</x:f>
        <x:v/>
      </x:c>
      <x:c r="AJ11" s="76" t="str">
        <x:f>IF(AND(ISNUMBER($G11),AJ$9=$G11),"◆","")</x:f>
        <x:v/>
      </x:c>
      <x:c r="AK11" s="76" t="str">
        <x:f>IF(AND(ISNUMBER($G11),AK$9=$G11),"◆","")</x:f>
        <x:v/>
      </x:c>
      <x:c r="AL11" s="83" t="str">
        <x:f>IF(AND(ISNUMBER($G11),AL$9=$G11),"◆","")</x:f>
        <x:v/>
      </x:c>
      <x:c r="AM11" s="4" t="str">
        <x:v>01 AS-IS 네트워크 설계</x:v>
      </x:c>
      <x:c r="AN11" s="49"/>
      <x:c r="AO11" s="49"/>
      <x:c r="AP11" s="4" t="str">
        <x:v>당초 10/21 목표 유지. 등록 결과는 Issue 댓글 기준; PL 전체 망 기술 검토 완료를 뜻하지 않음.</x:v>
      </x:c>
      <x:c r="AQ11" s="4" t="str">
        <x:v>Issue #1 종료·작성자 성공 보고. 작성·등록 범위 완료; 전체 IP·라우팅 검토는 C6.1.</x:v>
      </x:c>
      <x:c r="AR11" s="4" t="n">
        <x:f>IF(OR(ISNUMBER(SEARCH(AR$9,$D11)),ISNUMBER(SEARCH(AR$9,$E11))),1*100000000+IF(ISNUMBER($F11),$F11,99999)*1000+ROW(),1000000000)</x:f>
        <x:v>146315011.0</x:v>
      </x:c>
      <x:c r="AS11" s="4" t="n">
        <x:f>IF(OR(ISNUMBER(SEARCH(AS$9,$D11)),ISNUMBER(SEARCH(AS$9,$E11))),2*100000000+IF(ISNUMBER($F11),$F11,99999)*1000+ROW(),1000000000)</x:f>
        <x:v>1000000000.0</x:v>
      </x:c>
      <x:c r="AT11" s="4" t="n">
        <x:f>IF(OR(ISNUMBER(SEARCH(AT$9,$D11)),ISNUMBER(SEARCH(AT$9,$E11))),3*100000000+IF(ISNUMBER($F11),$F11,99999)*1000+ROW(),1000000000)</x:f>
        <x:v>346315011.0</x:v>
      </x:c>
      <x:c r="AU11" s="4" t="n">
        <x:f>IF(OR(ISNUMBER(SEARCH(AU$9,$D11)),ISNUMBER(SEARCH(AU$9,$E11))),4*100000000+IF(ISNUMBER($F11),$F11,99999)*1000+ROW(),1000000000)</x:f>
        <x:v>1000000000.0</x:v>
      </x:c>
      <x:c r="AV11" s="4" t="n">
        <x:f>IF(OR(ISNUMBER(SEARCH(AV$9,$D11)),ISNUMBER(SEARCH(AV$9,$E11))),5*100000000+IF(ISNUMBER($F11),$F11,99999)*1000+ROW(),1000000000)</x:f>
        <x:v>1000000000.0</x:v>
      </x:c>
      <x:c r="AW11" s="4" t="str">
        <x:v>https://github.com/team-blocks-lab/otter-shield/issues/1</x:v>
      </x:c>
      <x:c r="AX11" s="4" t="str">
        <x:v>#1</x:v>
      </x:c>
      <x:c r="AY11" s="106" t="str">
        <x:v>토폴로지 작성·등록 완료. 망 간 IP·연결 정합성은 C6.1에서 별도 검토.</x:v>
      </x:c>
    </x:row>
    <x:row r="12" ht="39" customHeight="1">
      <x:c r="A12" s="66" t="str">
        <x:v>I02</x:v>
      </x:c>
      <x:c r="B12" s="67" t="str">
        <x:v>인프라</x:v>
      </x:c>
      <x:c r="C12" s="31" t="str">
        <x:v>독일 AS-IS 토폴로지 작성</x:v>
      </x:c>
      <x:c r="D12" s="31" t="str">
        <x:v>M2 윤서영</x:v>
      </x:c>
      <x:c r="E12" s="31" t="str">
        <x:v>M3 홍은서</x:v>
      </x:c>
      <x:c r="F12" s="41" t="n">
        <x:v>46315</x:v>
      </x:c>
      <x:c r="G12" s="41" t="n">
        <x:v>46316</x:v>
      </x:c>
      <x:c r="H12" s="42" t="str">
        <x:v>검토 중</x:v>
      </x:c>
      <x:c r="I12" s="31" t="str">
        <x:v>—</x:v>
      </x:c>
      <x:c r="J12" s="65" t="str">
        <x:f>HYPERLINK($AW12,"#2")</x:f>
        <x:v>#2</x:v>
      </x:c>
      <x:c r="K12" s="34" t="str">
        <x:f>IF(AND(ISNUMBER($G12),K$9=$G12),"◆","")</x:f>
        <x:v/>
      </x:c>
      <x:c r="L12" s="74" t="str">
        <x:f>IF(AND(ISNUMBER($G12),L$9=$G12),"◆","")</x:f>
        <x:v>◆</x:v>
      </x:c>
      <x:c r="M12" s="34" t="str">
        <x:f>IF(AND(ISNUMBER($G12),M$9=$G12),"◆","")</x:f>
        <x:v/>
      </x:c>
      <x:c r="N12" s="34" t="str">
        <x:f>IF(AND(ISNUMBER($G12),N$9=$G12),"◆","")</x:f>
        <x:v/>
      </x:c>
      <x:c r="O12" s="76" t="str">
        <x:f>IF(AND(ISNUMBER($G12),O$9=$G12),"◆","")</x:f>
        <x:v/>
      </x:c>
      <x:c r="P12" s="76" t="str">
        <x:f>IF(AND(ISNUMBER($G12),P$9=$G12),"◆","")</x:f>
        <x:v/>
      </x:c>
      <x:c r="Q12" s="83" t="str">
        <x:f>IF(AND(ISNUMBER($G12),Q$9=$G12),"◆","")</x:f>
        <x:v/>
      </x:c>
      <x:c r="R12" s="34" t="str">
        <x:f>IF(AND(ISNUMBER($G12),R$9=$G12),"◆","")</x:f>
        <x:v/>
      </x:c>
      <x:c r="S12" s="34" t="str">
        <x:f>IF(AND(ISNUMBER($G12),S$9=$G12),"◆","")</x:f>
        <x:v/>
      </x:c>
      <x:c r="T12" s="34" t="str">
        <x:f>IF(AND(ISNUMBER($G12),T$9=$G12),"◆","")</x:f>
        <x:v/>
      </x:c>
      <x:c r="U12" s="34" t="str">
        <x:f>IF(AND(ISNUMBER($G12),U$9=$G12),"◆","")</x:f>
        <x:v/>
      </x:c>
      <x:c r="V12" s="76" t="str">
        <x:f>IF(AND(ISNUMBER($G12),V$9=$G12),"◆","")</x:f>
        <x:v/>
      </x:c>
      <x:c r="W12" s="86" t="str">
        <x:f>IF(AND(ISNUMBER($G12),W$9=$G12),"◆","")</x:f>
        <x:v/>
      </x:c>
      <x:c r="X12" s="83" t="str">
        <x:f>IF(AND(ISNUMBER($G12),X$9=$G12),"◆","")</x:f>
        <x:v/>
      </x:c>
      <x:c r="Y12" s="34" t="str">
        <x:f>IF(AND(ISNUMBER($G12),Y$9=$G12),"◆","")</x:f>
        <x:v/>
      </x:c>
      <x:c r="Z12" s="34" t="str">
        <x:f>IF(AND(ISNUMBER($G12),Z$9=$G12),"◆","")</x:f>
        <x:v/>
      </x:c>
      <x:c r="AA12" s="34" t="str">
        <x:f>IF(AND(ISNUMBER($G12),AA$9=$G12),"◆","")</x:f>
        <x:v/>
      </x:c>
      <x:c r="AB12" s="34" t="str">
        <x:f>IF(AND(ISNUMBER($G12),AB$9=$G12),"◆","")</x:f>
        <x:v/>
      </x:c>
      <x:c r="AC12" s="76" t="str">
        <x:f>IF(AND(ISNUMBER($G12),AC$9=$G12),"◆","")</x:f>
        <x:v/>
      </x:c>
      <x:c r="AD12" s="76" t="str">
        <x:f>IF(AND(ISNUMBER($G12),AD$9=$G12),"◆","")</x:f>
        <x:v/>
      </x:c>
      <x:c r="AE12" s="83" t="str">
        <x:f>IF(AND(ISNUMBER($G12),AE$9=$G12),"◆","")</x:f>
        <x:v/>
      </x:c>
      <x:c r="AF12" s="34" t="str">
        <x:f>IF(AND(ISNUMBER($G12),AF$9=$G12),"◆","")</x:f>
        <x:v/>
      </x:c>
      <x:c r="AG12" s="34" t="str">
        <x:f>IF(AND(ISNUMBER($G12),AG$9=$G12),"◆","")</x:f>
        <x:v/>
      </x:c>
      <x:c r="AH12" s="34" t="str">
        <x:f>IF(AND(ISNUMBER($G12),AH$9=$G12),"◆","")</x:f>
        <x:v/>
      </x:c>
      <x:c r="AI12" s="34" t="str">
        <x:f>IF(AND(ISNUMBER($G12),AI$9=$G12),"◆","")</x:f>
        <x:v/>
      </x:c>
      <x:c r="AJ12" s="76" t="str">
        <x:f>IF(AND(ISNUMBER($G12),AJ$9=$G12),"◆","")</x:f>
        <x:v/>
      </x:c>
      <x:c r="AK12" s="76" t="str">
        <x:f>IF(AND(ISNUMBER($G12),AK$9=$G12),"◆","")</x:f>
        <x:v/>
      </x:c>
      <x:c r="AL12" s="83" t="str">
        <x:f>IF(AND(ISNUMBER($G12),AL$9=$G12),"◆","")</x:f>
        <x:v/>
      </x:c>
      <x:c r="AM12" s="4" t="str">
        <x:v>01 AS-IS 네트워크 설계</x:v>
      </x:c>
      <x:c r="AN12" s="49"/>
      <x:c r="AO12" s="49"/>
      <x:c r="AP12" s="4" t="str">
        <x:v>10/21 등록·Issue 종료. IP 변경 가능 메모는 C6.1에서 PL 검토 후 처리; 자동 검증 완료로 보지 않음.</x:v>
      </x:c>
      <x:c r="AQ12" s="4" t="str">
        <x:v>#2 종료, 작성자 보고는 일부 성공·IP 변경 가능. 등록 확인; 잔여 기술 검토 미확인.</x:v>
      </x:c>
      <x:c r="AR12" s="4" t="n">
        <x:f>IF(OR(ISNUMBER(SEARCH(AR$9,$D12)),ISNUMBER(SEARCH(AR$9,$E12))),1*100000000+IF(ISNUMBER($F12),$F12,99999)*1000+ROW(),1000000000)</x:f>
        <x:v>1000000000.0</x:v>
      </x:c>
      <x:c r="AS12" s="4" t="n">
        <x:f>IF(OR(ISNUMBER(SEARCH(AS$9,$D12)),ISNUMBER(SEARCH(AS$9,$E12))),2*100000000+IF(ISNUMBER($F12),$F12,99999)*1000+ROW(),1000000000)</x:f>
        <x:v>246315012.0</x:v>
      </x:c>
      <x:c r="AT12" s="4" t="n">
        <x:f>IF(OR(ISNUMBER(SEARCH(AT$9,$D12)),ISNUMBER(SEARCH(AT$9,$E12))),3*100000000+IF(ISNUMBER($F12),$F12,99999)*1000+ROW(),1000000000)</x:f>
        <x:v>346315012.0</x:v>
      </x:c>
      <x:c r="AU12" s="4" t="n">
        <x:f>IF(OR(ISNUMBER(SEARCH(AU$9,$D12)),ISNUMBER(SEARCH(AU$9,$E12))),4*100000000+IF(ISNUMBER($F12),$F12,99999)*1000+ROW(),1000000000)</x:f>
        <x:v>1000000000.0</x:v>
      </x:c>
      <x:c r="AV12" s="4" t="n">
        <x:f>IF(OR(ISNUMBER(SEARCH(AV$9,$D12)),ISNUMBER(SEARCH(AV$9,$E12))),5*100000000+IF(ISNUMBER($F12),$F12,99999)*1000+ROW(),1000000000)</x:f>
        <x:v>1000000000.0</x:v>
      </x:c>
      <x:c r="AW12" s="4" t="str">
        <x:v>https://github.com/team-blocks-lab/otter-shield/issues/2</x:v>
      </x:c>
      <x:c r="AX12" s="4" t="str">
        <x:v>#2</x:v>
      </x:c>
      <x:c r="AY12" s="106" t="str">
        <x:v>등록 완료·IP 검토 대기. 확인된 독립 구간부터 구축 가능.</x:v>
      </x:c>
    </x:row>
    <x:row r="13" ht="39" customHeight="1">
      <x:c r="A13" s="66" t="str">
        <x:v>I03</x:v>
      </x:c>
      <x:c r="B13" s="67" t="str">
        <x:v>인프라</x:v>
      </x:c>
      <x:c r="C13" s="31" t="str">
        <x:v>한국 서비스망 AS-IS 토폴로지 작성</x:v>
      </x:c>
      <x:c r="D13" s="31" t="str">
        <x:v>M3 홍은서(PL)</x:v>
      </x:c>
      <x:c r="E13" s="31" t="str">
        <x:v>—</x:v>
      </x:c>
      <x:c r="F13" s="41" t="n">
        <x:v>46315</x:v>
      </x:c>
      <x:c r="G13" s="41" t="n">
        <x:v>46316</x:v>
      </x:c>
      <x:c r="H13" s="42" t="str">
        <x:v>완료</x:v>
      </x:c>
      <x:c r="I13" s="31" t="str">
        <x:v>—</x:v>
      </x:c>
      <x:c r="J13" s="65" t="str">
        <x:f>HYPERLINK($AW13,"#3")</x:f>
        <x:v>#3</x:v>
      </x:c>
      <x:c r="K13" s="34" t="str">
        <x:f>IF(AND(ISNUMBER($G13),K$9=$G13),"◆","")</x:f>
        <x:v/>
      </x:c>
      <x:c r="L13" s="74" t="str">
        <x:f>IF(AND(ISNUMBER($G13),L$9=$G13),"◆","")</x:f>
        <x:v>◆</x:v>
      </x:c>
      <x:c r="M13" s="34" t="str">
        <x:f>IF(AND(ISNUMBER($G13),M$9=$G13),"◆","")</x:f>
        <x:v/>
      </x:c>
      <x:c r="N13" s="34" t="str">
        <x:f>IF(AND(ISNUMBER($G13),N$9=$G13),"◆","")</x:f>
        <x:v/>
      </x:c>
      <x:c r="O13" s="76" t="str">
        <x:f>IF(AND(ISNUMBER($G13),O$9=$G13),"◆","")</x:f>
        <x:v/>
      </x:c>
      <x:c r="P13" s="76" t="str">
        <x:f>IF(AND(ISNUMBER($G13),P$9=$G13),"◆","")</x:f>
        <x:v/>
      </x:c>
      <x:c r="Q13" s="83" t="str">
        <x:f>IF(AND(ISNUMBER($G13),Q$9=$G13),"◆","")</x:f>
        <x:v/>
      </x:c>
      <x:c r="R13" s="34" t="str">
        <x:f>IF(AND(ISNUMBER($G13),R$9=$G13),"◆","")</x:f>
        <x:v/>
      </x:c>
      <x:c r="S13" s="34" t="str">
        <x:f>IF(AND(ISNUMBER($G13),S$9=$G13),"◆","")</x:f>
        <x:v/>
      </x:c>
      <x:c r="T13" s="34" t="str">
        <x:f>IF(AND(ISNUMBER($G13),T$9=$G13),"◆","")</x:f>
        <x:v/>
      </x:c>
      <x:c r="U13" s="34" t="str">
        <x:f>IF(AND(ISNUMBER($G13),U$9=$G13),"◆","")</x:f>
        <x:v/>
      </x:c>
      <x:c r="V13" s="76" t="str">
        <x:f>IF(AND(ISNUMBER($G13),V$9=$G13),"◆","")</x:f>
        <x:v/>
      </x:c>
      <x:c r="W13" s="86" t="str">
        <x:f>IF(AND(ISNUMBER($G13),W$9=$G13),"◆","")</x:f>
        <x:v/>
      </x:c>
      <x:c r="X13" s="83" t="str">
        <x:f>IF(AND(ISNUMBER($G13),X$9=$G13),"◆","")</x:f>
        <x:v/>
      </x:c>
      <x:c r="Y13" s="34" t="str">
        <x:f>IF(AND(ISNUMBER($G13),Y$9=$G13),"◆","")</x:f>
        <x:v/>
      </x:c>
      <x:c r="Z13" s="34" t="str">
        <x:f>IF(AND(ISNUMBER($G13),Z$9=$G13),"◆","")</x:f>
        <x:v/>
      </x:c>
      <x:c r="AA13" s="34" t="str">
        <x:f>IF(AND(ISNUMBER($G13),AA$9=$G13),"◆","")</x:f>
        <x:v/>
      </x:c>
      <x:c r="AB13" s="34" t="str">
        <x:f>IF(AND(ISNUMBER($G13),AB$9=$G13),"◆","")</x:f>
        <x:v/>
      </x:c>
      <x:c r="AC13" s="76" t="str">
        <x:f>IF(AND(ISNUMBER($G13),AC$9=$G13),"◆","")</x:f>
        <x:v/>
      </x:c>
      <x:c r="AD13" s="76" t="str">
        <x:f>IF(AND(ISNUMBER($G13),AD$9=$G13),"◆","")</x:f>
        <x:v/>
      </x:c>
      <x:c r="AE13" s="83" t="str">
        <x:f>IF(AND(ISNUMBER($G13),AE$9=$G13),"◆","")</x:f>
        <x:v/>
      </x:c>
      <x:c r="AF13" s="34" t="str">
        <x:f>IF(AND(ISNUMBER($G13),AF$9=$G13),"◆","")</x:f>
        <x:v/>
      </x:c>
      <x:c r="AG13" s="34" t="str">
        <x:f>IF(AND(ISNUMBER($G13),AG$9=$G13),"◆","")</x:f>
        <x:v/>
      </x:c>
      <x:c r="AH13" s="34" t="str">
        <x:f>IF(AND(ISNUMBER($G13),AH$9=$G13),"◆","")</x:f>
        <x:v/>
      </x:c>
      <x:c r="AI13" s="34" t="str">
        <x:f>IF(AND(ISNUMBER($G13),AI$9=$G13),"◆","")</x:f>
        <x:v/>
      </x:c>
      <x:c r="AJ13" s="76" t="str">
        <x:f>IF(AND(ISNUMBER($G13),AJ$9=$G13),"◆","")</x:f>
        <x:v/>
      </x:c>
      <x:c r="AK13" s="76" t="str">
        <x:f>IF(AND(ISNUMBER($G13),AK$9=$G13),"◆","")</x:f>
        <x:v/>
      </x:c>
      <x:c r="AL13" s="83" t="str">
        <x:f>IF(AND(ISNUMBER($G13),AL$9=$G13),"◆","")</x:f>
        <x:v/>
      </x:c>
      <x:c r="AM13" s="4" t="str">
        <x:v>01 AS-IS 네트워크 설계</x:v>
      </x:c>
      <x:c r="AN13" s="49"/>
      <x:c r="AO13" s="49"/>
      <x:c r="AP13" s="4" t="str">
        <x:v>당초 10/21 목표 유지. 등록 결과는 Issue 댓글 기준; PL 전체 망 기술 검토 완료를 뜻하지 않음.</x:v>
      </x:c>
      <x:c r="AQ13" s="4" t="str">
        <x:v>Issue #3 종료·작성자 성공 보고. 작성·등록 범위 완료; 전체 IP·라우팅 검토는 C6.1.</x:v>
      </x:c>
      <x:c r="AR13" s="4" t="n">
        <x:f>IF(OR(ISNUMBER(SEARCH(AR$9,$D13)),ISNUMBER(SEARCH(AR$9,$E13))),1*100000000+IF(ISNUMBER($F13),$F13,99999)*1000+ROW(),1000000000)</x:f>
        <x:v>1000000000.0</x:v>
      </x:c>
      <x:c r="AS13" s="4" t="n">
        <x:f>IF(OR(ISNUMBER(SEARCH(AS$9,$D13)),ISNUMBER(SEARCH(AS$9,$E13))),2*100000000+IF(ISNUMBER($F13),$F13,99999)*1000+ROW(),1000000000)</x:f>
        <x:v>1000000000.0</x:v>
      </x:c>
      <x:c r="AT13" s="4" t="n">
        <x:f>IF(OR(ISNUMBER(SEARCH(AT$9,$D13)),ISNUMBER(SEARCH(AT$9,$E13))),3*100000000+IF(ISNUMBER($F13),$F13,99999)*1000+ROW(),1000000000)</x:f>
        <x:v>346315013.0</x:v>
      </x:c>
      <x:c r="AU13" s="4" t="n">
        <x:f>IF(OR(ISNUMBER(SEARCH(AU$9,$D13)),ISNUMBER(SEARCH(AU$9,$E13))),4*100000000+IF(ISNUMBER($F13),$F13,99999)*1000+ROW(),1000000000)</x:f>
        <x:v>1000000000.0</x:v>
      </x:c>
      <x:c r="AV13" s="4" t="n">
        <x:f>IF(OR(ISNUMBER(SEARCH(AV$9,$D13)),ISNUMBER(SEARCH(AV$9,$E13))),5*100000000+IF(ISNUMBER($F13),$F13,99999)*1000+ROW(),1000000000)</x:f>
        <x:v>1000000000.0</x:v>
      </x:c>
      <x:c r="AW13" s="4" t="str">
        <x:v>https://github.com/team-blocks-lab/otter-shield/issues/3</x:v>
      </x:c>
      <x:c r="AX13" s="4" t="str">
        <x:v>#3</x:v>
      </x:c>
      <x:c r="AY13" s="106" t="str">
        <x:v>토폴로지 작성·등록 완료. 망 간 IP·연결 정합성은 C6.1에서 별도 검토.</x:v>
      </x:c>
    </x:row>
    <x:row r="14" ht="39" customHeight="1">
      <x:c r="A14" s="66" t="str">
        <x:v>I04</x:v>
      </x:c>
      <x:c r="B14" s="67" t="str">
        <x:v>인프라</x:v>
      </x:c>
      <x:c r="C14" s="31" t="str">
        <x:v>백업·DR망 AS-IS 토폴로지 작성</x:v>
      </x:c>
      <x:c r="D14" s="31" t="str">
        <x:v>M4 박진혁</x:v>
      </x:c>
      <x:c r="E14" s="31" t="str">
        <x:v>M3 홍은서</x:v>
      </x:c>
      <x:c r="F14" s="41" t="n">
        <x:v>46315</x:v>
      </x:c>
      <x:c r="G14" s="41" t="n">
        <x:v>46316</x:v>
      </x:c>
      <x:c r="H14" s="42" t="str">
        <x:v>완료</x:v>
      </x:c>
      <x:c r="I14" s="31" t="str">
        <x:v>—</x:v>
      </x:c>
      <x:c r="J14" s="65" t="str">
        <x:f>HYPERLINK($AW14,"#4")</x:f>
        <x:v>#4</x:v>
      </x:c>
      <x:c r="K14" s="34" t="str">
        <x:f>IF(AND(ISNUMBER($G14),K$9=$G14),"◆","")</x:f>
        <x:v/>
      </x:c>
      <x:c r="L14" s="74" t="str">
        <x:f>IF(AND(ISNUMBER($G14),L$9=$G14),"◆","")</x:f>
        <x:v>◆</x:v>
      </x:c>
      <x:c r="M14" s="34" t="str">
        <x:f>IF(AND(ISNUMBER($G14),M$9=$G14),"◆","")</x:f>
        <x:v/>
      </x:c>
      <x:c r="N14" s="34" t="str">
        <x:f>IF(AND(ISNUMBER($G14),N$9=$G14),"◆","")</x:f>
        <x:v/>
      </x:c>
      <x:c r="O14" s="76" t="str">
        <x:f>IF(AND(ISNUMBER($G14),O$9=$G14),"◆","")</x:f>
        <x:v/>
      </x:c>
      <x:c r="P14" s="76" t="str">
        <x:f>IF(AND(ISNUMBER($G14),P$9=$G14),"◆","")</x:f>
        <x:v/>
      </x:c>
      <x:c r="Q14" s="83" t="str">
        <x:f>IF(AND(ISNUMBER($G14),Q$9=$G14),"◆","")</x:f>
        <x:v/>
      </x:c>
      <x:c r="R14" s="34" t="str">
        <x:f>IF(AND(ISNUMBER($G14),R$9=$G14),"◆","")</x:f>
        <x:v/>
      </x:c>
      <x:c r="S14" s="34" t="str">
        <x:f>IF(AND(ISNUMBER($G14),S$9=$G14),"◆","")</x:f>
        <x:v/>
      </x:c>
      <x:c r="T14" s="34" t="str">
        <x:f>IF(AND(ISNUMBER($G14),T$9=$G14),"◆","")</x:f>
        <x:v/>
      </x:c>
      <x:c r="U14" s="34" t="str">
        <x:f>IF(AND(ISNUMBER($G14),U$9=$G14),"◆","")</x:f>
        <x:v/>
      </x:c>
      <x:c r="V14" s="76" t="str">
        <x:f>IF(AND(ISNUMBER($G14),V$9=$G14),"◆","")</x:f>
        <x:v/>
      </x:c>
      <x:c r="W14" s="86" t="str">
        <x:f>IF(AND(ISNUMBER($G14),W$9=$G14),"◆","")</x:f>
        <x:v/>
      </x:c>
      <x:c r="X14" s="83" t="str">
        <x:f>IF(AND(ISNUMBER($G14),X$9=$G14),"◆","")</x:f>
        <x:v/>
      </x:c>
      <x:c r="Y14" s="34" t="str">
        <x:f>IF(AND(ISNUMBER($G14),Y$9=$G14),"◆","")</x:f>
        <x:v/>
      </x:c>
      <x:c r="Z14" s="34" t="str">
        <x:f>IF(AND(ISNUMBER($G14),Z$9=$G14),"◆","")</x:f>
        <x:v/>
      </x:c>
      <x:c r="AA14" s="34" t="str">
        <x:f>IF(AND(ISNUMBER($G14),AA$9=$G14),"◆","")</x:f>
        <x:v/>
      </x:c>
      <x:c r="AB14" s="34" t="str">
        <x:f>IF(AND(ISNUMBER($G14),AB$9=$G14),"◆","")</x:f>
        <x:v/>
      </x:c>
      <x:c r="AC14" s="76" t="str">
        <x:f>IF(AND(ISNUMBER($G14),AC$9=$G14),"◆","")</x:f>
        <x:v/>
      </x:c>
      <x:c r="AD14" s="76" t="str">
        <x:f>IF(AND(ISNUMBER($G14),AD$9=$G14),"◆","")</x:f>
        <x:v/>
      </x:c>
      <x:c r="AE14" s="83" t="str">
        <x:f>IF(AND(ISNUMBER($G14),AE$9=$G14),"◆","")</x:f>
        <x:v/>
      </x:c>
      <x:c r="AF14" s="34" t="str">
        <x:f>IF(AND(ISNUMBER($G14),AF$9=$G14),"◆","")</x:f>
        <x:v/>
      </x:c>
      <x:c r="AG14" s="34" t="str">
        <x:f>IF(AND(ISNUMBER($G14),AG$9=$G14),"◆","")</x:f>
        <x:v/>
      </x:c>
      <x:c r="AH14" s="34" t="str">
        <x:f>IF(AND(ISNUMBER($G14),AH$9=$G14),"◆","")</x:f>
        <x:v/>
      </x:c>
      <x:c r="AI14" s="34" t="str">
        <x:f>IF(AND(ISNUMBER($G14),AI$9=$G14),"◆","")</x:f>
        <x:v/>
      </x:c>
      <x:c r="AJ14" s="76" t="str">
        <x:f>IF(AND(ISNUMBER($G14),AJ$9=$G14),"◆","")</x:f>
        <x:v/>
      </x:c>
      <x:c r="AK14" s="76" t="str">
        <x:f>IF(AND(ISNUMBER($G14),AK$9=$G14),"◆","")</x:f>
        <x:v/>
      </x:c>
      <x:c r="AL14" s="83" t="str">
        <x:f>IF(AND(ISNUMBER($G14),AL$9=$G14),"◆","")</x:f>
        <x:v/>
      </x:c>
      <x:c r="AM14" s="4" t="str">
        <x:v>01 AS-IS 네트워크 설계</x:v>
      </x:c>
      <x:c r="AN14" s="49"/>
      <x:c r="AO14" s="49"/>
      <x:c r="AP14" s="4" t="str">
        <x:v>당초 10/21 목표 유지. 등록 결과는 Issue 댓글 기준; PL 전체 망 기술 검토 완료를 뜻하지 않음.</x:v>
      </x:c>
      <x:c r="AQ14" s="4" t="str">
        <x:v>Issue #4 종료·작성자 성공 보고. 작성·등록 범위 완료; 전체 IP·라우팅 검토는 C6.1.</x:v>
      </x:c>
      <x:c r="AR14" s="4" t="n">
        <x:f>IF(OR(ISNUMBER(SEARCH(AR$9,$D14)),ISNUMBER(SEARCH(AR$9,$E14))),1*100000000+IF(ISNUMBER($F14),$F14,99999)*1000+ROW(),1000000000)</x:f>
        <x:v>1000000000.0</x:v>
      </x:c>
      <x:c r="AS14" s="4" t="n">
        <x:f>IF(OR(ISNUMBER(SEARCH(AS$9,$D14)),ISNUMBER(SEARCH(AS$9,$E14))),2*100000000+IF(ISNUMBER($F14),$F14,99999)*1000+ROW(),1000000000)</x:f>
        <x:v>1000000000.0</x:v>
      </x:c>
      <x:c r="AT14" s="4" t="n">
        <x:f>IF(OR(ISNUMBER(SEARCH(AT$9,$D14)),ISNUMBER(SEARCH(AT$9,$E14))),3*100000000+IF(ISNUMBER($F14),$F14,99999)*1000+ROW(),1000000000)</x:f>
        <x:v>346315014.0</x:v>
      </x:c>
      <x:c r="AU14" s="4" t="n">
        <x:f>IF(OR(ISNUMBER(SEARCH(AU$9,$D14)),ISNUMBER(SEARCH(AU$9,$E14))),4*100000000+IF(ISNUMBER($F14),$F14,99999)*1000+ROW(),1000000000)</x:f>
        <x:v>446315014.0</x:v>
      </x:c>
      <x:c r="AV14" s="4" t="n">
        <x:f>IF(OR(ISNUMBER(SEARCH(AV$9,$D14)),ISNUMBER(SEARCH(AV$9,$E14))),5*100000000+IF(ISNUMBER($F14),$F14,99999)*1000+ROW(),1000000000)</x:f>
        <x:v>1000000000.0</x:v>
      </x:c>
      <x:c r="AW14" s="4" t="str">
        <x:v>https://github.com/team-blocks-lab/otter-shield/issues/4</x:v>
      </x:c>
      <x:c r="AX14" s="4" t="str">
        <x:v>#4</x:v>
      </x:c>
      <x:c r="AY14" s="106" t="str">
        <x:v>토폴로지 작성·등록 완료. 망 간 IP·연결 정합성은 C6.1에서 별도 검토.</x:v>
      </x:c>
    </x:row>
    <x:row r="15" ht="39" customHeight="1">
      <x:c r="A15" s="66" t="str">
        <x:v>I05</x:v>
      </x:c>
      <x:c r="B15" s="67" t="str">
        <x:v>인프라</x:v>
      </x:c>
      <x:c r="C15" s="31" t="str">
        <x:v>캐나다 AS-IS 토폴로지 작성</x:v>
      </x:c>
      <x:c r="D15" s="31" t="str">
        <x:v>M5 유은혜(PM)</x:v>
      </x:c>
      <x:c r="E15" s="31" t="str">
        <x:v>M3 홍은서</x:v>
      </x:c>
      <x:c r="F15" s="41" t="n">
        <x:v>46315</x:v>
      </x:c>
      <x:c r="G15" s="41" t="n">
        <x:v>46316</x:v>
      </x:c>
      <x:c r="H15" s="42" t="str">
        <x:v>완료</x:v>
      </x:c>
      <x:c r="I15" s="31" t="str">
        <x:v>—</x:v>
      </x:c>
      <x:c r="J15" s="65" t="str">
        <x:f>HYPERLINK($AW15,"#5")</x:f>
        <x:v>#5</x:v>
      </x:c>
      <x:c r="K15" s="34" t="str">
        <x:f>IF(AND(ISNUMBER($G15),K$9=$G15),"◆","")</x:f>
        <x:v/>
      </x:c>
      <x:c r="L15" s="74" t="str">
        <x:f>IF(AND(ISNUMBER($G15),L$9=$G15),"◆","")</x:f>
        <x:v>◆</x:v>
      </x:c>
      <x:c r="M15" s="34" t="str">
        <x:f>IF(AND(ISNUMBER($G15),M$9=$G15),"◆","")</x:f>
        <x:v/>
      </x:c>
      <x:c r="N15" s="34" t="str">
        <x:f>IF(AND(ISNUMBER($G15),N$9=$G15),"◆","")</x:f>
        <x:v/>
      </x:c>
      <x:c r="O15" s="76" t="str">
        <x:f>IF(AND(ISNUMBER($G15),O$9=$G15),"◆","")</x:f>
        <x:v/>
      </x:c>
      <x:c r="P15" s="76" t="str">
        <x:f>IF(AND(ISNUMBER($G15),P$9=$G15),"◆","")</x:f>
        <x:v/>
      </x:c>
      <x:c r="Q15" s="83" t="str">
        <x:f>IF(AND(ISNUMBER($G15),Q$9=$G15),"◆","")</x:f>
        <x:v/>
      </x:c>
      <x:c r="R15" s="34" t="str">
        <x:f>IF(AND(ISNUMBER($G15),R$9=$G15),"◆","")</x:f>
        <x:v/>
      </x:c>
      <x:c r="S15" s="34" t="str">
        <x:f>IF(AND(ISNUMBER($G15),S$9=$G15),"◆","")</x:f>
        <x:v/>
      </x:c>
      <x:c r="T15" s="34" t="str">
        <x:f>IF(AND(ISNUMBER($G15),T$9=$G15),"◆","")</x:f>
        <x:v/>
      </x:c>
      <x:c r="U15" s="34" t="str">
        <x:f>IF(AND(ISNUMBER($G15),U$9=$G15),"◆","")</x:f>
        <x:v/>
      </x:c>
      <x:c r="V15" s="76" t="str">
        <x:f>IF(AND(ISNUMBER($G15),V$9=$G15),"◆","")</x:f>
        <x:v/>
      </x:c>
      <x:c r="W15" s="86" t="str">
        <x:f>IF(AND(ISNUMBER($G15),W$9=$G15),"◆","")</x:f>
        <x:v/>
      </x:c>
      <x:c r="X15" s="83" t="str">
        <x:f>IF(AND(ISNUMBER($G15),X$9=$G15),"◆","")</x:f>
        <x:v/>
      </x:c>
      <x:c r="Y15" s="34" t="str">
        <x:f>IF(AND(ISNUMBER($G15),Y$9=$G15),"◆","")</x:f>
        <x:v/>
      </x:c>
      <x:c r="Z15" s="34" t="str">
        <x:f>IF(AND(ISNUMBER($G15),Z$9=$G15),"◆","")</x:f>
        <x:v/>
      </x:c>
      <x:c r="AA15" s="34" t="str">
        <x:f>IF(AND(ISNUMBER($G15),AA$9=$G15),"◆","")</x:f>
        <x:v/>
      </x:c>
      <x:c r="AB15" s="34" t="str">
        <x:f>IF(AND(ISNUMBER($G15),AB$9=$G15),"◆","")</x:f>
        <x:v/>
      </x:c>
      <x:c r="AC15" s="76" t="str">
        <x:f>IF(AND(ISNUMBER($G15),AC$9=$G15),"◆","")</x:f>
        <x:v/>
      </x:c>
      <x:c r="AD15" s="76" t="str">
        <x:f>IF(AND(ISNUMBER($G15),AD$9=$G15),"◆","")</x:f>
        <x:v/>
      </x:c>
      <x:c r="AE15" s="83" t="str">
        <x:f>IF(AND(ISNUMBER($G15),AE$9=$G15),"◆","")</x:f>
        <x:v/>
      </x:c>
      <x:c r="AF15" s="34" t="str">
        <x:f>IF(AND(ISNUMBER($G15),AF$9=$G15),"◆","")</x:f>
        <x:v/>
      </x:c>
      <x:c r="AG15" s="34" t="str">
        <x:f>IF(AND(ISNUMBER($G15),AG$9=$G15),"◆","")</x:f>
        <x:v/>
      </x:c>
      <x:c r="AH15" s="34" t="str">
        <x:f>IF(AND(ISNUMBER($G15),AH$9=$G15),"◆","")</x:f>
        <x:v/>
      </x:c>
      <x:c r="AI15" s="34" t="str">
        <x:f>IF(AND(ISNUMBER($G15),AI$9=$G15),"◆","")</x:f>
        <x:v/>
      </x:c>
      <x:c r="AJ15" s="76" t="str">
        <x:f>IF(AND(ISNUMBER($G15),AJ$9=$G15),"◆","")</x:f>
        <x:v/>
      </x:c>
      <x:c r="AK15" s="76" t="str">
        <x:f>IF(AND(ISNUMBER($G15),AK$9=$G15),"◆","")</x:f>
        <x:v/>
      </x:c>
      <x:c r="AL15" s="83" t="str">
        <x:f>IF(AND(ISNUMBER($G15),AL$9=$G15),"◆","")</x:f>
        <x:v/>
      </x:c>
      <x:c r="AM15" s="4" t="str">
        <x:v>01 AS-IS 네트워크 설계</x:v>
      </x:c>
      <x:c r="AN15" s="49"/>
      <x:c r="AO15" s="49"/>
      <x:c r="AP15" s="4" t="str">
        <x:v>당초 10/21 목표 유지. 등록 결과는 Issue 댓글 기준; PL 전체 망 기술 검토 완료를 뜻하지 않음.</x:v>
      </x:c>
      <x:c r="AQ15" s="4" t="str">
        <x:v>Issue #5 종료·작성자 성공 보고. 작성·등록 범위 완료; 전체 IP·라우팅 검토는 C6.1.</x:v>
      </x:c>
      <x:c r="AR15" s="4" t="n">
        <x:f>IF(OR(ISNUMBER(SEARCH(AR$9,$D15)),ISNUMBER(SEARCH(AR$9,$E15))),1*100000000+IF(ISNUMBER($F15),$F15,99999)*1000+ROW(),1000000000)</x:f>
        <x:v>1000000000.0</x:v>
      </x:c>
      <x:c r="AS15" s="4" t="n">
        <x:f>IF(OR(ISNUMBER(SEARCH(AS$9,$D15)),ISNUMBER(SEARCH(AS$9,$E15))),2*100000000+IF(ISNUMBER($F15),$F15,99999)*1000+ROW(),1000000000)</x:f>
        <x:v>1000000000.0</x:v>
      </x:c>
      <x:c r="AT15" s="4" t="n">
        <x:f>IF(OR(ISNUMBER(SEARCH(AT$9,$D15)),ISNUMBER(SEARCH(AT$9,$E15))),3*100000000+IF(ISNUMBER($F15),$F15,99999)*1000+ROW(),1000000000)</x:f>
        <x:v>346315015.0</x:v>
      </x:c>
      <x:c r="AU15" s="4" t="n">
        <x:f>IF(OR(ISNUMBER(SEARCH(AU$9,$D15)),ISNUMBER(SEARCH(AU$9,$E15))),4*100000000+IF(ISNUMBER($F15),$F15,99999)*1000+ROW(),1000000000)</x:f>
        <x:v>1000000000.0</x:v>
      </x:c>
      <x:c r="AV15" s="4" t="n">
        <x:f>IF(OR(ISNUMBER(SEARCH(AV$9,$D15)),ISNUMBER(SEARCH(AV$9,$E15))),5*100000000+IF(ISNUMBER($F15),$F15,99999)*1000+ROW(),1000000000)</x:f>
        <x:v>546315015.0</x:v>
      </x:c>
      <x:c r="AW15" s="4" t="str">
        <x:v>https://github.com/team-blocks-lab/otter-shield/issues/5</x:v>
      </x:c>
      <x:c r="AX15" s="4" t="str">
        <x:v>#5</x:v>
      </x:c>
      <x:c r="AY15" s="106" t="str">
        <x:v>토폴로지 작성·등록 완료. 망 간 IP·연결 정합성은 C6.1에서 별도 검토.</x:v>
      </x:c>
    </x:row>
    <x:row r="16" ht="39" customHeight="1">
      <x:c r="A16" s="66" t="str">
        <x:v>C6.1</x:v>
      </x:c>
      <x:c r="B16" s="67" t="str">
        <x:v>공동·관리</x:v>
      </x:c>
      <x:c r="C16" s="31" t="str">
        <x:v>IP·구축 환경 기술 검토·계획서 개정</x:v>
      </x:c>
      <x:c r="D16" s="31" t="str">
        <x:v>M5 유은혜(PM)</x:v>
      </x:c>
      <x:c r="E16" s="31" t="str">
        <x:v>M3 홍은서 · M1 유용수
M2 윤서영 · M4 박진혁</x:v>
      </x:c>
      <x:c r="F16" s="41" t="n">
        <x:v>46316</x:v>
      </x:c>
      <x:c r="G16" s="41" t="n">
        <x:v>46318</x:v>
      </x:c>
      <x:c r="H16" s="42" t="str">
        <x:v>진행 중</x:v>
      </x:c>
      <x:c r="I16" s="31" t="str">
        <x:v>I01, I02, I03, I04, I05</x:v>
      </x:c>
      <x:c r="J16" s="65" t="str">
        <x:f>HYPERLINK($AW16,"#6")</x:f>
        <x:v>#6</x:v>
      </x:c>
      <x:c r="K16" s="34" t="str">
        <x:f>IF(AND(ISNUMBER($G16),K$9=$G16),"◆","")</x:f>
        <x:v/>
      </x:c>
      <x:c r="L16" s="74" t="str">
        <x:f>IF(AND(ISNUMBER($G16),L$9=$G16),"◆","")</x:f>
        <x:v/>
      </x:c>
      <x:c r="M16" s="34" t="str">
        <x:f>IF(AND(ISNUMBER($G16),M$9=$G16),"◆","")</x:f>
        <x:v/>
      </x:c>
      <x:c r="N16" s="34" t="str">
        <x:f>IF(AND(ISNUMBER($G16),N$9=$G16),"◆","")</x:f>
        <x:v>◆</x:v>
      </x:c>
      <x:c r="O16" s="76" t="str">
        <x:f>IF(AND(ISNUMBER($G16),O$9=$G16),"◆","")</x:f>
        <x:v/>
      </x:c>
      <x:c r="P16" s="76" t="str">
        <x:f>IF(AND(ISNUMBER($G16),P$9=$G16),"◆","")</x:f>
        <x:v/>
      </x:c>
      <x:c r="Q16" s="83" t="str">
        <x:f>IF(AND(ISNUMBER($G16),Q$9=$G16),"◆","")</x:f>
        <x:v/>
      </x:c>
      <x:c r="R16" s="34" t="str">
        <x:f>IF(AND(ISNUMBER($G16),R$9=$G16),"◆","")</x:f>
        <x:v/>
      </x:c>
      <x:c r="S16" s="34" t="str">
        <x:f>IF(AND(ISNUMBER($G16),S$9=$G16),"◆","")</x:f>
        <x:v/>
      </x:c>
      <x:c r="T16" s="34" t="str">
        <x:f>IF(AND(ISNUMBER($G16),T$9=$G16),"◆","")</x:f>
        <x:v/>
      </x:c>
      <x:c r="U16" s="34" t="str">
        <x:f>IF(AND(ISNUMBER($G16),U$9=$G16),"◆","")</x:f>
        <x:v/>
      </x:c>
      <x:c r="V16" s="76" t="str">
        <x:f>IF(AND(ISNUMBER($G16),V$9=$G16),"◆","")</x:f>
        <x:v/>
      </x:c>
      <x:c r="W16" s="86" t="str">
        <x:f>IF(AND(ISNUMBER($G16),W$9=$G16),"◆","")</x:f>
        <x:v/>
      </x:c>
      <x:c r="X16" s="83" t="str">
        <x:f>IF(AND(ISNUMBER($G16),X$9=$G16),"◆","")</x:f>
        <x:v/>
      </x:c>
      <x:c r="Y16" s="34" t="str">
        <x:f>IF(AND(ISNUMBER($G16),Y$9=$G16),"◆","")</x:f>
        <x:v/>
      </x:c>
      <x:c r="Z16" s="34" t="str">
        <x:f>IF(AND(ISNUMBER($G16),Z$9=$G16),"◆","")</x:f>
        <x:v/>
      </x:c>
      <x:c r="AA16" s="34" t="str">
        <x:f>IF(AND(ISNUMBER($G16),AA$9=$G16),"◆","")</x:f>
        <x:v/>
      </x:c>
      <x:c r="AB16" s="34" t="str">
        <x:f>IF(AND(ISNUMBER($G16),AB$9=$G16),"◆","")</x:f>
        <x:v/>
      </x:c>
      <x:c r="AC16" s="76" t="str">
        <x:f>IF(AND(ISNUMBER($G16),AC$9=$G16),"◆","")</x:f>
        <x:v/>
      </x:c>
      <x:c r="AD16" s="76" t="str">
        <x:f>IF(AND(ISNUMBER($G16),AD$9=$G16),"◆","")</x:f>
        <x:v/>
      </x:c>
      <x:c r="AE16" s="83" t="str">
        <x:f>IF(AND(ISNUMBER($G16),AE$9=$G16),"◆","")</x:f>
        <x:v/>
      </x:c>
      <x:c r="AF16" s="34" t="str">
        <x:f>IF(AND(ISNUMBER($G16),AF$9=$G16),"◆","")</x:f>
        <x:v/>
      </x:c>
      <x:c r="AG16" s="34" t="str">
        <x:f>IF(AND(ISNUMBER($G16),AG$9=$G16),"◆","")</x:f>
        <x:v/>
      </x:c>
      <x:c r="AH16" s="34" t="str">
        <x:f>IF(AND(ISNUMBER($G16),AH$9=$G16),"◆","")</x:f>
        <x:v/>
      </x:c>
      <x:c r="AI16" s="34" t="str">
        <x:f>IF(AND(ISNUMBER($G16),AI$9=$G16),"◆","")</x:f>
        <x:v/>
      </x:c>
      <x:c r="AJ16" s="76" t="str">
        <x:f>IF(AND(ISNUMBER($G16),AJ$9=$G16),"◆","")</x:f>
        <x:v/>
      </x:c>
      <x:c r="AK16" s="76" t="str">
        <x:f>IF(AND(ISNUMBER($G16),AK$9=$G16),"◆","")</x:f>
        <x:v/>
      </x:c>
      <x:c r="AL16" s="83" t="str">
        <x:f>IF(AND(ISNUMBER($G16),AL$9=$G16),"◆","")</x:f>
        <x:v/>
      </x:c>
      <x:c r="AM16" s="4" t="str">
        <x:v>01 AS-IS 네트워크 설계</x:v>
      </x:c>
      <x:c r="AN16" s="49"/>
      <x:c r="AO16" s="49"/>
      <x:c r="AP16" s="4" t="str">
        <x:v>10/21 IP 배정·M1–M3 일반 라우팅 결정 및 제출 완료. 10/22 PL 기술 검토 계획, 10/23 환경·공수 점검 목표 유지.</x:v>
      </x:c>
      <x:c r="AQ16" s="4" t="str">
        <x:v>10/21 회의: IP 배정·일반 라우팅 결정·계획서/WBS 제출. PL 기술 검토 결과는 미확인.</x:v>
      </x:c>
      <x:c r="AR16" s="4" t="n">
        <x:f>IF(OR(ISNUMBER(SEARCH(AR$9,$D16)),ISNUMBER(SEARCH(AR$9,$E16))),1*100000000+IF(ISNUMBER($F16),$F16,99999)*1000+ROW(),1000000000)</x:f>
        <x:v>146316016.0</x:v>
      </x:c>
      <x:c r="AS16" s="4" t="n">
        <x:f>IF(OR(ISNUMBER(SEARCH(AS$9,$D16)),ISNUMBER(SEARCH(AS$9,$E16))),2*100000000+IF(ISNUMBER($F16),$F16,99999)*1000+ROW(),1000000000)</x:f>
        <x:v>246316016.0</x:v>
      </x:c>
      <x:c r="AT16" s="4" t="n">
        <x:f>IF(OR(ISNUMBER(SEARCH(AT$9,$D16)),ISNUMBER(SEARCH(AT$9,$E16))),3*100000000+IF(ISNUMBER($F16),$F16,99999)*1000+ROW(),1000000000)</x:f>
        <x:v>346316016.0</x:v>
      </x:c>
      <x:c r="AU16" s="4" t="n">
        <x:f>IF(OR(ISNUMBER(SEARCH(AU$9,$D16)),ISNUMBER(SEARCH(AU$9,$E16))),4*100000000+IF(ISNUMBER($F16),$F16,99999)*1000+ROW(),1000000000)</x:f>
        <x:v>446316016.0</x:v>
      </x:c>
      <x:c r="AV16" s="4" t="n">
        <x:f>IF(OR(ISNUMBER(SEARCH(AV$9,$D16)),ISNUMBER(SEARCH(AV$9,$E16))),5*100000000+IF(ISNUMBER($F16),$F16,99999)*1000+ROW(),1000000000)</x:f>
        <x:v>546316016.0</x:v>
      </x:c>
      <x:c r="AW16" s="4" t="str">
        <x:v>https://github.com/team-blocks-lab/otter-shield/issues/6</x:v>
      </x:c>
      <x:c r="AX16" s="4" t="str">
        <x:v>#6</x:v>
      </x:c>
      <x:c r="AY16" s="106" t="str">
        <x:v>IP/NIC·반환 경로·자원은 각 망 제출, M1 취합·PL 검토. 계획서 제출과 기술 검토 구분; 필요 시 개정.</x:v>
      </x:c>
    </x:row>
    <x:row r="17" ht="24" customHeight="1">
      <x:c r="A17" s="56"/>
      <x:c r="B17" s="56"/>
      <x:c r="C17" s="56" t="str">
        <x:v>02 인프라 구축·통신 검증</x:v>
      </x:c>
      <x:c r="D17" s="56"/>
      <x:c r="E17" s="56"/>
      <x:c r="F17" s="57"/>
      <x:c r="G17" s="57"/>
      <x:c r="H17" s="58"/>
      <x:c r="I17" s="56"/>
      <x:c r="J17" s="56"/>
      <x:c r="K17" s="58"/>
      <x:c r="L17" s="73"/>
      <x:c r="M17" s="58"/>
      <x:c r="N17" s="58"/>
      <x:c r="O17" s="58"/>
      <x:c r="P17" s="58"/>
      <x:c r="Q17" s="82"/>
      <x:c r="R17" s="58"/>
      <x:c r="S17" s="58"/>
      <x:c r="T17" s="58"/>
      <x:c r="U17" s="58"/>
      <x:c r="V17" s="58"/>
      <x:c r="W17" s="82"/>
      <x:c r="X17" s="82"/>
      <x:c r="Y17" s="58"/>
      <x:c r="Z17" s="58"/>
      <x:c r="AA17" s="58"/>
      <x:c r="AB17" s="58"/>
      <x:c r="AC17" s="58"/>
      <x:c r="AD17" s="58"/>
      <x:c r="AE17" s="82"/>
      <x:c r="AF17" s="58"/>
      <x:c r="AG17" s="58"/>
      <x:c r="AH17" s="58"/>
      <x:c r="AI17" s="58"/>
      <x:c r="AJ17" s="58"/>
      <x:c r="AK17" s="58"/>
      <x:c r="AL17" s="82"/>
      <x:c r="AM17" s="4"/>
      <x:c r="AN17" s="49"/>
      <x:c r="AO17" s="49"/>
      <x:c r="AP17" s="4"/>
      <x:c r="AQ17" s="4"/>
      <x:c r="AR17" s="4" t="n">
        <x:v>1000000000</x:v>
      </x:c>
      <x:c r="AS17" s="4" t="n">
        <x:v>1000000000</x:v>
      </x:c>
      <x:c r="AT17" s="4" t="n">
        <x:v>1000000000</x:v>
      </x:c>
      <x:c r="AU17" s="4" t="n">
        <x:v>1000000000</x:v>
      </x:c>
      <x:c r="AV17" s="4" t="n">
        <x:v>1000000000</x:v>
      </x:c>
      <x:c r="AW17" s="4"/>
      <x:c r="AX17" s="4"/>
      <x:c r="AY17" s="106"/>
    </x:row>
    <x:row r="18" ht="31" customHeight="1">
      <x:c r="A18" s="66" t="str">
        <x:v>I14</x:v>
      </x:c>
      <x:c r="B18" s="67" t="str">
        <x:v>인프라</x:v>
      </x:c>
      <x:c r="C18" s="31" t="str">
        <x:v>한국 본사 장비·기본 서비스 구성</x:v>
      </x:c>
      <x:c r="D18" s="31" t="str">
        <x:v>M1 유용수</x:v>
      </x:c>
      <x:c r="E18" s="31" t="str">
        <x:v>M2 윤서영</x:v>
      </x:c>
      <x:c r="F18" s="41" t="n">
        <x:v>46316</x:v>
      </x:c>
      <x:c r="G18" s="41" t="n">
        <x:v>46323</x:v>
      </x:c>
      <x:c r="H18" s="42" t="str">
        <x:v>미확인</x:v>
      </x:c>
      <x:c r="I18" s="31" t="str">
        <x:v>I01, C6.1</x:v>
      </x:c>
      <x:c r="J18" s="65" t="str">
        <x:f>HYPERLINK($AW18,"#14")</x:f>
        <x:v>#14</x:v>
      </x:c>
      <x:c r="K18" s="34" t="str">
        <x:f>IF(AND(ISNUMBER($G18),K$9=$G18),"◆","")</x:f>
        <x:v/>
      </x:c>
      <x:c r="L18" s="74" t="str">
        <x:f>IF(AND(ISNUMBER($G18),L$9=$G18),"◆","")</x:f>
        <x:v/>
      </x:c>
      <x:c r="M18" s="34" t="str">
        <x:f>IF(AND(ISNUMBER($G18),M$9=$G18),"◆","")</x:f>
        <x:v/>
      </x:c>
      <x:c r="N18" s="34" t="str">
        <x:f>IF(AND(ISNUMBER($G18),N$9=$G18),"◆","")</x:f>
        <x:v/>
      </x:c>
      <x:c r="O18" s="76" t="str">
        <x:f>IF(AND(ISNUMBER($G18),O$9=$G18),"◆","")</x:f>
        <x:v/>
      </x:c>
      <x:c r="P18" s="76" t="str">
        <x:f>IF(AND(ISNUMBER($G18),P$9=$G18),"◆","")</x:f>
        <x:v/>
      </x:c>
      <x:c r="Q18" s="83" t="str">
        <x:f>IF(AND(ISNUMBER($G18),Q$9=$G18),"◆","")</x:f>
        <x:v/>
      </x:c>
      <x:c r="R18" s="34" t="str">
        <x:f>IF(AND(ISNUMBER($G18),R$9=$G18),"◆","")</x:f>
        <x:v/>
      </x:c>
      <x:c r="S18" s="34" t="str">
        <x:f>IF(AND(ISNUMBER($G18),S$9=$G18),"◆","")</x:f>
        <x:v>◆</x:v>
      </x:c>
      <x:c r="T18" s="34" t="str">
        <x:f>IF(AND(ISNUMBER($G18),T$9=$G18),"◆","")</x:f>
        <x:v/>
      </x:c>
      <x:c r="U18" s="34" t="str">
        <x:f>IF(AND(ISNUMBER($G18),U$9=$G18),"◆","")</x:f>
        <x:v/>
      </x:c>
      <x:c r="V18" s="76" t="str">
        <x:f>IF(AND(ISNUMBER($G18),V$9=$G18),"◆","")</x:f>
        <x:v/>
      </x:c>
      <x:c r="W18" s="86" t="str">
        <x:f>IF(AND(ISNUMBER($G18),W$9=$G18),"◆","")</x:f>
        <x:v/>
      </x:c>
      <x:c r="X18" s="83" t="str">
        <x:f>IF(AND(ISNUMBER($G18),X$9=$G18),"◆","")</x:f>
        <x:v/>
      </x:c>
      <x:c r="Y18" s="34" t="str">
        <x:f>IF(AND(ISNUMBER($G18),Y$9=$G18),"◆","")</x:f>
        <x:v/>
      </x:c>
      <x:c r="Z18" s="34" t="str">
        <x:f>IF(AND(ISNUMBER($G18),Z$9=$G18),"◆","")</x:f>
        <x:v/>
      </x:c>
      <x:c r="AA18" s="34" t="str">
        <x:f>IF(AND(ISNUMBER($G18),AA$9=$G18),"◆","")</x:f>
        <x:v/>
      </x:c>
      <x:c r="AB18" s="34" t="str">
        <x:f>IF(AND(ISNUMBER($G18),AB$9=$G18),"◆","")</x:f>
        <x:v/>
      </x:c>
      <x:c r="AC18" s="76" t="str">
        <x:f>IF(AND(ISNUMBER($G18),AC$9=$G18),"◆","")</x:f>
        <x:v/>
      </x:c>
      <x:c r="AD18" s="76" t="str">
        <x:f>IF(AND(ISNUMBER($G18),AD$9=$G18),"◆","")</x:f>
        <x:v/>
      </x:c>
      <x:c r="AE18" s="83" t="str">
        <x:f>IF(AND(ISNUMBER($G18),AE$9=$G18),"◆","")</x:f>
        <x:v/>
      </x:c>
      <x:c r="AF18" s="34" t="str">
        <x:f>IF(AND(ISNUMBER($G18),AF$9=$G18),"◆","")</x:f>
        <x:v/>
      </x:c>
      <x:c r="AG18" s="34" t="str">
        <x:f>IF(AND(ISNUMBER($G18),AG$9=$G18),"◆","")</x:f>
        <x:v/>
      </x:c>
      <x:c r="AH18" s="34" t="str">
        <x:f>IF(AND(ISNUMBER($G18),AH$9=$G18),"◆","")</x:f>
        <x:v/>
      </x:c>
      <x:c r="AI18" s="34" t="str">
        <x:f>IF(AND(ISNUMBER($G18),AI$9=$G18),"◆","")</x:f>
        <x:v/>
      </x:c>
      <x:c r="AJ18" s="76" t="str">
        <x:f>IF(AND(ISNUMBER($G18),AJ$9=$G18),"◆","")</x:f>
        <x:v/>
      </x:c>
      <x:c r="AK18" s="76" t="str">
        <x:f>IF(AND(ISNUMBER($G18),AK$9=$G18),"◆","")</x:f>
        <x:v/>
      </x:c>
      <x:c r="AL18" s="83" t="str">
        <x:f>IF(AND(ISNUMBER($G18),AL$9=$G18),"◆","")</x:f>
        <x:v/>
      </x:c>
      <x:c r="AM18" s="4" t="str">
        <x:v>02 인프라 구축·통신 검증</x:v>
      </x:c>
      <x:c r="AN18" s="49" t="n">
        <x:v>46318</x:v>
      </x:c>
      <x:c r="AO18" s="49" t="n">
        <x:v>46321</x:v>
      </x:c>
      <x:c r="AP18" s="4" t="str">
        <x:v>WBS 세부 구간 10/21–23 장비·OS·기본 통신, 10/26–28 기본 서비스. 망 간 VPN은 C7, 실제 앱 배포는 D4에서 한 번만 기록. M2 로그·Wazuh 준비는 #9와 동일 증거.</x:v>
      </x:c>
      <x:c r="AQ18" s="4" t="str">
        <x:v>#14 OPEN 0/8</x:v>
      </x:c>
      <x:c r="AR18" s="4" t="n">
        <x:f>IF(OR(ISNUMBER(SEARCH(AR$9,$D18)),ISNUMBER(SEARCH(AR$9,$E18))),1*100000000+IF(ISNUMBER($F18),$F18,99999)*1000+ROW(),1000000000)</x:f>
        <x:v>146316018.0</x:v>
      </x:c>
      <x:c r="AS18" s="4" t="n">
        <x:f>IF(OR(ISNUMBER(SEARCH(AS$9,$D18)),ISNUMBER(SEARCH(AS$9,$E18))),2*100000000+IF(ISNUMBER($F18),$F18,99999)*1000+ROW(),1000000000)</x:f>
        <x:v>246316018.0</x:v>
      </x:c>
      <x:c r="AT18" s="4" t="n">
        <x:f>IF(OR(ISNUMBER(SEARCH(AT$9,$D18)),ISNUMBER(SEARCH(AT$9,$E18))),3*100000000+IF(ISNUMBER($F18),$F18,99999)*1000+ROW(),1000000000)</x:f>
        <x:v>1000000000.0</x:v>
      </x:c>
      <x:c r="AU18" s="4" t="n">
        <x:f>IF(OR(ISNUMBER(SEARCH(AU$9,$D18)),ISNUMBER(SEARCH(AU$9,$E18))),4*100000000+IF(ISNUMBER($F18),$F18,99999)*1000+ROW(),1000000000)</x:f>
        <x:v>1000000000.0</x:v>
      </x:c>
      <x:c r="AV18" s="4" t="n">
        <x:f>IF(OR(ISNUMBER(SEARCH(AV$9,$D18)),ISNUMBER(SEARCH(AV$9,$E18))),5*100000000+IF(ISNUMBER($F18),$F18,99999)*1000+ROW(),1000000000)</x:f>
        <x:v>1000000000.0</x:v>
      </x:c>
      <x:c r="AW18" s="4" t="str">
        <x:v>https://github.com/team-blocks-lab/otter-shield/issues/14</x:v>
      </x:c>
      <x:c r="AX18" s="4" t="str">
        <x:v>#14</x:v>
      </x:c>
      <x:c r="AY18" s="106" t="str">
        <x:v>C6.1의 해당 망 IP/NIC·자원 확인 후 독립 구간부터 착수. 전체 검토 종료와 별개.</x:v>
      </x:c>
    </x:row>
    <x:row r="19" ht="31" customHeight="1">
      <x:c r="A19" s="66" t="str">
        <x:v>I19</x:v>
      </x:c>
      <x:c r="B19" s="67" t="str">
        <x:v>인프라</x:v>
      </x:c>
      <x:c r="C19" s="31" t="str">
        <x:v>독일 장비·기본 서비스 구성</x:v>
      </x:c>
      <x:c r="D19" s="31" t="str">
        <x:v>M2 윤서영</x:v>
      </x:c>
      <x:c r="E19" s="31" t="str">
        <x:v>M1 유용수</x:v>
      </x:c>
      <x:c r="F19" s="41" t="n">
        <x:v>46316</x:v>
      </x:c>
      <x:c r="G19" s="41" t="n">
        <x:v>46323</x:v>
      </x:c>
      <x:c r="H19" s="42" t="str">
        <x:v>미확인</x:v>
      </x:c>
      <x:c r="I19" s="31" t="str">
        <x:v>I02, C6.1</x:v>
      </x:c>
      <x:c r="J19" s="65" t="str">
        <x:f>HYPERLINK($AW19,"#19 +1")</x:f>
        <x:v>#19 +1</x:v>
      </x:c>
      <x:c r="K19" s="34" t="str">
        <x:f>IF(AND(ISNUMBER($G19),K$9=$G19),"◆","")</x:f>
        <x:v/>
      </x:c>
      <x:c r="L19" s="74" t="str">
        <x:f>IF(AND(ISNUMBER($G19),L$9=$G19),"◆","")</x:f>
        <x:v/>
      </x:c>
      <x:c r="M19" s="34" t="str">
        <x:f>IF(AND(ISNUMBER($G19),M$9=$G19),"◆","")</x:f>
        <x:v/>
      </x:c>
      <x:c r="N19" s="34" t="str">
        <x:f>IF(AND(ISNUMBER($G19),N$9=$G19),"◆","")</x:f>
        <x:v/>
      </x:c>
      <x:c r="O19" s="76" t="str">
        <x:f>IF(AND(ISNUMBER($G19),O$9=$G19),"◆","")</x:f>
        <x:v/>
      </x:c>
      <x:c r="P19" s="76" t="str">
        <x:f>IF(AND(ISNUMBER($G19),P$9=$G19),"◆","")</x:f>
        <x:v/>
      </x:c>
      <x:c r="Q19" s="83" t="str">
        <x:f>IF(AND(ISNUMBER($G19),Q$9=$G19),"◆","")</x:f>
        <x:v/>
      </x:c>
      <x:c r="R19" s="34" t="str">
        <x:f>IF(AND(ISNUMBER($G19),R$9=$G19),"◆","")</x:f>
        <x:v/>
      </x:c>
      <x:c r="S19" s="34" t="str">
        <x:f>IF(AND(ISNUMBER($G19),S$9=$G19),"◆","")</x:f>
        <x:v>◆</x:v>
      </x:c>
      <x:c r="T19" s="34" t="str">
        <x:f>IF(AND(ISNUMBER($G19),T$9=$G19),"◆","")</x:f>
        <x:v/>
      </x:c>
      <x:c r="U19" s="34" t="str">
        <x:f>IF(AND(ISNUMBER($G19),U$9=$G19),"◆","")</x:f>
        <x:v/>
      </x:c>
      <x:c r="V19" s="76" t="str">
        <x:f>IF(AND(ISNUMBER($G19),V$9=$G19),"◆","")</x:f>
        <x:v/>
      </x:c>
      <x:c r="W19" s="86" t="str">
        <x:f>IF(AND(ISNUMBER($G19),W$9=$G19),"◆","")</x:f>
        <x:v/>
      </x:c>
      <x:c r="X19" s="83" t="str">
        <x:f>IF(AND(ISNUMBER($G19),X$9=$G19),"◆","")</x:f>
        <x:v/>
      </x:c>
      <x:c r="Y19" s="34" t="str">
        <x:f>IF(AND(ISNUMBER($G19),Y$9=$G19),"◆","")</x:f>
        <x:v/>
      </x:c>
      <x:c r="Z19" s="34" t="str">
        <x:f>IF(AND(ISNUMBER($G19),Z$9=$G19),"◆","")</x:f>
        <x:v/>
      </x:c>
      <x:c r="AA19" s="34" t="str">
        <x:f>IF(AND(ISNUMBER($G19),AA$9=$G19),"◆","")</x:f>
        <x:v/>
      </x:c>
      <x:c r="AB19" s="34" t="str">
        <x:f>IF(AND(ISNUMBER($G19),AB$9=$G19),"◆","")</x:f>
        <x:v/>
      </x:c>
      <x:c r="AC19" s="76" t="str">
        <x:f>IF(AND(ISNUMBER($G19),AC$9=$G19),"◆","")</x:f>
        <x:v/>
      </x:c>
      <x:c r="AD19" s="76" t="str">
        <x:f>IF(AND(ISNUMBER($G19),AD$9=$G19),"◆","")</x:f>
        <x:v/>
      </x:c>
      <x:c r="AE19" s="83" t="str">
        <x:f>IF(AND(ISNUMBER($G19),AE$9=$G19),"◆","")</x:f>
        <x:v/>
      </x:c>
      <x:c r="AF19" s="34" t="str">
        <x:f>IF(AND(ISNUMBER($G19),AF$9=$G19),"◆","")</x:f>
        <x:v/>
      </x:c>
      <x:c r="AG19" s="34" t="str">
        <x:f>IF(AND(ISNUMBER($G19),AG$9=$G19),"◆","")</x:f>
        <x:v/>
      </x:c>
      <x:c r="AH19" s="34" t="str">
        <x:f>IF(AND(ISNUMBER($G19),AH$9=$G19),"◆","")</x:f>
        <x:v/>
      </x:c>
      <x:c r="AI19" s="34" t="str">
        <x:f>IF(AND(ISNUMBER($G19),AI$9=$G19),"◆","")</x:f>
        <x:v/>
      </x:c>
      <x:c r="AJ19" s="76" t="str">
        <x:f>IF(AND(ISNUMBER($G19),AJ$9=$G19),"◆","")</x:f>
        <x:v/>
      </x:c>
      <x:c r="AK19" s="76" t="str">
        <x:f>IF(AND(ISNUMBER($G19),AK$9=$G19),"◆","")</x:f>
        <x:v/>
      </x:c>
      <x:c r="AL19" s="83" t="str">
        <x:f>IF(AND(ISNUMBER($G19),AL$9=$G19),"◆","")</x:f>
        <x:v/>
      </x:c>
      <x:c r="AM19" s="4" t="str">
        <x:v>02 인프라 구축·통신 검증</x:v>
      </x:c>
      <x:c r="AN19" s="49" t="n">
        <x:v>46318</x:v>
      </x:c>
      <x:c r="AO19" s="49" t="n">
        <x:v>46321</x:v>
      </x:c>
      <x:c r="AP19" s="4" t="str">
        <x:v>WBS 세부 구간 10/21–23 장비·OS·기본 통신, 10/26–28 기본 서비스. 망 간 VPN은 C7, 실제 앱 배포는 D4에서 한 번만 기록. M2 로그·Wazuh 준비는 #9와 동일 증거.</x:v>
      </x:c>
      <x:c r="AQ19" s="4" t="str">
        <x:v>#19 OPEN 0/8; #9 OPEN 0/5</x:v>
      </x:c>
      <x:c r="AR19" s="4" t="n">
        <x:f>IF(OR(ISNUMBER(SEARCH(AR$9,$D19)),ISNUMBER(SEARCH(AR$9,$E19))),1*100000000+IF(ISNUMBER($F19),$F19,99999)*1000+ROW(),1000000000)</x:f>
        <x:v>146316019.0</x:v>
      </x:c>
      <x:c r="AS19" s="4" t="n">
        <x:f>IF(OR(ISNUMBER(SEARCH(AS$9,$D19)),ISNUMBER(SEARCH(AS$9,$E19))),2*100000000+IF(ISNUMBER($F19),$F19,99999)*1000+ROW(),1000000000)</x:f>
        <x:v>246316019.0</x:v>
      </x:c>
      <x:c r="AT19" s="4" t="n">
        <x:f>IF(OR(ISNUMBER(SEARCH(AT$9,$D19)),ISNUMBER(SEARCH(AT$9,$E19))),3*100000000+IF(ISNUMBER($F19),$F19,99999)*1000+ROW(),1000000000)</x:f>
        <x:v>1000000000.0</x:v>
      </x:c>
      <x:c r="AU19" s="4" t="n">
        <x:f>IF(OR(ISNUMBER(SEARCH(AU$9,$D19)),ISNUMBER(SEARCH(AU$9,$E19))),4*100000000+IF(ISNUMBER($F19),$F19,99999)*1000+ROW(),1000000000)</x:f>
        <x:v>1000000000.0</x:v>
      </x:c>
      <x:c r="AV19" s="4" t="n">
        <x:f>IF(OR(ISNUMBER(SEARCH(AV$9,$D19)),ISNUMBER(SEARCH(AV$9,$E19))),5*100000000+IF(ISNUMBER($F19),$F19,99999)*1000+ROW(),1000000000)</x:f>
        <x:v>1000000000.0</x:v>
      </x:c>
      <x:c r="AW19" s="4" t="str">
        <x:v>https://github.com/team-blocks-lab/otter-shield/issues/19</x:v>
      </x:c>
      <x:c r="AX19" s="4" t="str">
        <x:v>#19; #9</x:v>
      </x:c>
      <x:c r="AY19" s="106" t="str">
        <x:v>C6.1의 해당 망 IP/NIC·자원 확인 후 독립 구간부터 착수. 전체 검토 종료와 별개.</x:v>
      </x:c>
    </x:row>
    <x:row r="20" ht="31" customHeight="1">
      <x:c r="A20" s="66" t="str">
        <x:v>I24</x:v>
      </x:c>
      <x:c r="B20" s="67" t="str">
        <x:v>인프라</x:v>
      </x:c>
      <x:c r="C20" s="31" t="str">
        <x:v>한국 웹·K8s·DB 환경 구축</x:v>
      </x:c>
      <x:c r="D20" s="31" t="str">
        <x:v>M3 홍은서(PL)</x:v>
      </x:c>
      <x:c r="E20" s="31" t="str">
        <x:v>—</x:v>
      </x:c>
      <x:c r="F20" s="41" t="n">
        <x:v>46316</x:v>
      </x:c>
      <x:c r="G20" s="41" t="n">
        <x:v>46323</x:v>
      </x:c>
      <x:c r="H20" s="42" t="str">
        <x:v>미확인</x:v>
      </x:c>
      <x:c r="I20" s="31" t="str">
        <x:v>I03, C6.1</x:v>
      </x:c>
      <x:c r="J20" s="65" t="str">
        <x:f>HYPERLINK($AW20,"#24")</x:f>
        <x:v>#24</x:v>
      </x:c>
      <x:c r="K20" s="34" t="str">
        <x:f>IF(AND(ISNUMBER($G20),K$9=$G20),"◆","")</x:f>
        <x:v/>
      </x:c>
      <x:c r="L20" s="74" t="str">
        <x:f>IF(AND(ISNUMBER($G20),L$9=$G20),"◆","")</x:f>
        <x:v/>
      </x:c>
      <x:c r="M20" s="34" t="str">
        <x:f>IF(AND(ISNUMBER($G20),M$9=$G20),"◆","")</x:f>
        <x:v/>
      </x:c>
      <x:c r="N20" s="34" t="str">
        <x:f>IF(AND(ISNUMBER($G20),N$9=$G20),"◆","")</x:f>
        <x:v/>
      </x:c>
      <x:c r="O20" s="76" t="str">
        <x:f>IF(AND(ISNUMBER($G20),O$9=$G20),"◆","")</x:f>
        <x:v/>
      </x:c>
      <x:c r="P20" s="76" t="str">
        <x:f>IF(AND(ISNUMBER($G20),P$9=$G20),"◆","")</x:f>
        <x:v/>
      </x:c>
      <x:c r="Q20" s="83" t="str">
        <x:f>IF(AND(ISNUMBER($G20),Q$9=$G20),"◆","")</x:f>
        <x:v/>
      </x:c>
      <x:c r="R20" s="34" t="str">
        <x:f>IF(AND(ISNUMBER($G20),R$9=$G20),"◆","")</x:f>
        <x:v/>
      </x:c>
      <x:c r="S20" s="34" t="str">
        <x:f>IF(AND(ISNUMBER($G20),S$9=$G20),"◆","")</x:f>
        <x:v>◆</x:v>
      </x:c>
      <x:c r="T20" s="34" t="str">
        <x:f>IF(AND(ISNUMBER($G20),T$9=$G20),"◆","")</x:f>
        <x:v/>
      </x:c>
      <x:c r="U20" s="34" t="str">
        <x:f>IF(AND(ISNUMBER($G20),U$9=$G20),"◆","")</x:f>
        <x:v/>
      </x:c>
      <x:c r="V20" s="76" t="str">
        <x:f>IF(AND(ISNUMBER($G20),V$9=$G20),"◆","")</x:f>
        <x:v/>
      </x:c>
      <x:c r="W20" s="86" t="str">
        <x:f>IF(AND(ISNUMBER($G20),W$9=$G20),"◆","")</x:f>
        <x:v/>
      </x:c>
      <x:c r="X20" s="83" t="str">
        <x:f>IF(AND(ISNUMBER($G20),X$9=$G20),"◆","")</x:f>
        <x:v/>
      </x:c>
      <x:c r="Y20" s="34" t="str">
        <x:f>IF(AND(ISNUMBER($G20),Y$9=$G20),"◆","")</x:f>
        <x:v/>
      </x:c>
      <x:c r="Z20" s="34" t="str">
        <x:f>IF(AND(ISNUMBER($G20),Z$9=$G20),"◆","")</x:f>
        <x:v/>
      </x:c>
      <x:c r="AA20" s="34" t="str">
        <x:f>IF(AND(ISNUMBER($G20),AA$9=$G20),"◆","")</x:f>
        <x:v/>
      </x:c>
      <x:c r="AB20" s="34" t="str">
        <x:f>IF(AND(ISNUMBER($G20),AB$9=$G20),"◆","")</x:f>
        <x:v/>
      </x:c>
      <x:c r="AC20" s="76" t="str">
        <x:f>IF(AND(ISNUMBER($G20),AC$9=$G20),"◆","")</x:f>
        <x:v/>
      </x:c>
      <x:c r="AD20" s="76" t="str">
        <x:f>IF(AND(ISNUMBER($G20),AD$9=$G20),"◆","")</x:f>
        <x:v/>
      </x:c>
      <x:c r="AE20" s="83" t="str">
        <x:f>IF(AND(ISNUMBER($G20),AE$9=$G20),"◆","")</x:f>
        <x:v/>
      </x:c>
      <x:c r="AF20" s="34" t="str">
        <x:f>IF(AND(ISNUMBER($G20),AF$9=$G20),"◆","")</x:f>
        <x:v/>
      </x:c>
      <x:c r="AG20" s="34" t="str">
        <x:f>IF(AND(ISNUMBER($G20),AG$9=$G20),"◆","")</x:f>
        <x:v/>
      </x:c>
      <x:c r="AH20" s="34" t="str">
        <x:f>IF(AND(ISNUMBER($G20),AH$9=$G20),"◆","")</x:f>
        <x:v/>
      </x:c>
      <x:c r="AI20" s="34" t="str">
        <x:f>IF(AND(ISNUMBER($G20),AI$9=$G20),"◆","")</x:f>
        <x:v/>
      </x:c>
      <x:c r="AJ20" s="76" t="str">
        <x:f>IF(AND(ISNUMBER($G20),AJ$9=$G20),"◆","")</x:f>
        <x:v/>
      </x:c>
      <x:c r="AK20" s="76" t="str">
        <x:f>IF(AND(ISNUMBER($G20),AK$9=$G20),"◆","")</x:f>
        <x:v/>
      </x:c>
      <x:c r="AL20" s="83" t="str">
        <x:f>IF(AND(ISNUMBER($G20),AL$9=$G20),"◆","")</x:f>
        <x:v/>
      </x:c>
      <x:c r="AM20" s="4" t="str">
        <x:v>02 인프라 구축·통신 검증</x:v>
      </x:c>
      <x:c r="AN20" s="49" t="n">
        <x:v>46318</x:v>
      </x:c>
      <x:c r="AO20" s="49" t="n">
        <x:v>46321</x:v>
      </x:c>
      <x:c r="AP20" s="4" t="str">
        <x:v>WBS 세부 구간 10/21–23 장비·OS·기본 통신, 10/26–28 기본 서비스. 망 간 VPN은 C7, 실제 앱 배포는 D4에서 한 번만 기록. M2 로그·Wazuh 준비는 #9와 동일 증거.</x:v>
      </x:c>
      <x:c r="AQ20" s="4" t="str">
        <x:v>#24 OPEN 0/9</x:v>
      </x:c>
      <x:c r="AR20" s="4" t="n">
        <x:f>IF(OR(ISNUMBER(SEARCH(AR$9,$D20)),ISNUMBER(SEARCH(AR$9,$E20))),1*100000000+IF(ISNUMBER($F20),$F20,99999)*1000+ROW(),1000000000)</x:f>
        <x:v>1000000000.0</x:v>
      </x:c>
      <x:c r="AS20" s="4" t="n">
        <x:f>IF(OR(ISNUMBER(SEARCH(AS$9,$D20)),ISNUMBER(SEARCH(AS$9,$E20))),2*100000000+IF(ISNUMBER($F20),$F20,99999)*1000+ROW(),1000000000)</x:f>
        <x:v>1000000000.0</x:v>
      </x:c>
      <x:c r="AT20" s="4" t="n">
        <x:f>IF(OR(ISNUMBER(SEARCH(AT$9,$D20)),ISNUMBER(SEARCH(AT$9,$E20))),3*100000000+IF(ISNUMBER($F20),$F20,99999)*1000+ROW(),1000000000)</x:f>
        <x:v>346316020.0</x:v>
      </x:c>
      <x:c r="AU20" s="4" t="n">
        <x:f>IF(OR(ISNUMBER(SEARCH(AU$9,$D20)),ISNUMBER(SEARCH(AU$9,$E20))),4*100000000+IF(ISNUMBER($F20),$F20,99999)*1000+ROW(),1000000000)</x:f>
        <x:v>1000000000.0</x:v>
      </x:c>
      <x:c r="AV20" s="4" t="n">
        <x:f>IF(OR(ISNUMBER(SEARCH(AV$9,$D20)),ISNUMBER(SEARCH(AV$9,$E20))),5*100000000+IF(ISNUMBER($F20),$F20,99999)*1000+ROW(),1000000000)</x:f>
        <x:v>1000000000.0</x:v>
      </x:c>
      <x:c r="AW20" s="4" t="str">
        <x:v>https://github.com/team-blocks-lab/otter-shield/issues/24</x:v>
      </x:c>
      <x:c r="AX20" s="4" t="str">
        <x:v>#24</x:v>
      </x:c>
      <x:c r="AY20" s="106" t="str">
        <x:v>C6.1의 해당 망 IP/NIC·자원 확인 후 독립 구간부터 착수. 전체 검토 종료와 별개.</x:v>
      </x:c>
    </x:row>
    <x:row r="21" ht="39" customHeight="1">
      <x:c r="A21" s="66" t="str">
        <x:v>I29</x:v>
      </x:c>
      <x:c r="B21" s="67" t="str">
        <x:v>인프라</x:v>
      </x:c>
      <x:c r="C21" s="31" t="str">
        <x:v>백업망 구축·테스트 파일 준비</x:v>
      </x:c>
      <x:c r="D21" s="31" t="str">
        <x:v>M4 박진혁</x:v>
      </x:c>
      <x:c r="E21" s="31" t="str">
        <x:v>—</x:v>
      </x:c>
      <x:c r="F21" s="41" t="n">
        <x:v>46316</x:v>
      </x:c>
      <x:c r="G21" s="41" t="n">
        <x:v>46323</x:v>
      </x:c>
      <x:c r="H21" s="42" t="str">
        <x:v>진행 중</x:v>
      </x:c>
      <x:c r="I21" s="31" t="str">
        <x:v>I04, C6.1</x:v>
      </x:c>
      <x:c r="J21" s="65" t="str">
        <x:f>HYPERLINK($AW21,"#29")</x:f>
        <x:v>#29</x:v>
      </x:c>
      <x:c r="K21" s="34" t="str">
        <x:f>IF(AND(ISNUMBER($G21),K$9=$G21),"◆","")</x:f>
        <x:v/>
      </x:c>
      <x:c r="L21" s="74" t="str">
        <x:f>IF(AND(ISNUMBER($G21),L$9=$G21),"◆","")</x:f>
        <x:v/>
      </x:c>
      <x:c r="M21" s="34" t="str">
        <x:f>IF(AND(ISNUMBER($G21),M$9=$G21),"◆","")</x:f>
        <x:v/>
      </x:c>
      <x:c r="N21" s="34" t="str">
        <x:f>IF(AND(ISNUMBER($G21),N$9=$G21),"◆","")</x:f>
        <x:v/>
      </x:c>
      <x:c r="O21" s="76" t="str">
        <x:f>IF(AND(ISNUMBER($G21),O$9=$G21),"◆","")</x:f>
        <x:v/>
      </x:c>
      <x:c r="P21" s="76" t="str">
        <x:f>IF(AND(ISNUMBER($G21),P$9=$G21),"◆","")</x:f>
        <x:v/>
      </x:c>
      <x:c r="Q21" s="83" t="str">
        <x:f>IF(AND(ISNUMBER($G21),Q$9=$G21),"◆","")</x:f>
        <x:v/>
      </x:c>
      <x:c r="R21" s="34" t="str">
        <x:f>IF(AND(ISNUMBER($G21),R$9=$G21),"◆","")</x:f>
        <x:v/>
      </x:c>
      <x:c r="S21" s="34" t="str">
        <x:f>IF(AND(ISNUMBER($G21),S$9=$G21),"◆","")</x:f>
        <x:v>◆</x:v>
      </x:c>
      <x:c r="T21" s="34" t="str">
        <x:f>IF(AND(ISNUMBER($G21),T$9=$G21),"◆","")</x:f>
        <x:v/>
      </x:c>
      <x:c r="U21" s="34" t="str">
        <x:f>IF(AND(ISNUMBER($G21),U$9=$G21),"◆","")</x:f>
        <x:v/>
      </x:c>
      <x:c r="V21" s="76" t="str">
        <x:f>IF(AND(ISNUMBER($G21),V$9=$G21),"◆","")</x:f>
        <x:v/>
      </x:c>
      <x:c r="W21" s="86" t="str">
        <x:f>IF(AND(ISNUMBER($G21),W$9=$G21),"◆","")</x:f>
        <x:v/>
      </x:c>
      <x:c r="X21" s="83" t="str">
        <x:f>IF(AND(ISNUMBER($G21),X$9=$G21),"◆","")</x:f>
        <x:v/>
      </x:c>
      <x:c r="Y21" s="34" t="str">
        <x:f>IF(AND(ISNUMBER($G21),Y$9=$G21),"◆","")</x:f>
        <x:v/>
      </x:c>
      <x:c r="Z21" s="34" t="str">
        <x:f>IF(AND(ISNUMBER($G21),Z$9=$G21),"◆","")</x:f>
        <x:v/>
      </x:c>
      <x:c r="AA21" s="34" t="str">
        <x:f>IF(AND(ISNUMBER($G21),AA$9=$G21),"◆","")</x:f>
        <x:v/>
      </x:c>
      <x:c r="AB21" s="34" t="str">
        <x:f>IF(AND(ISNUMBER($G21),AB$9=$G21),"◆","")</x:f>
        <x:v/>
      </x:c>
      <x:c r="AC21" s="76" t="str">
        <x:f>IF(AND(ISNUMBER($G21),AC$9=$G21),"◆","")</x:f>
        <x:v/>
      </x:c>
      <x:c r="AD21" s="76" t="str">
        <x:f>IF(AND(ISNUMBER($G21),AD$9=$G21),"◆","")</x:f>
        <x:v/>
      </x:c>
      <x:c r="AE21" s="83" t="str">
        <x:f>IF(AND(ISNUMBER($G21),AE$9=$G21),"◆","")</x:f>
        <x:v/>
      </x:c>
      <x:c r="AF21" s="34" t="str">
        <x:f>IF(AND(ISNUMBER($G21),AF$9=$G21),"◆","")</x:f>
        <x:v/>
      </x:c>
      <x:c r="AG21" s="34" t="str">
        <x:f>IF(AND(ISNUMBER($G21),AG$9=$G21),"◆","")</x:f>
        <x:v/>
      </x:c>
      <x:c r="AH21" s="34" t="str">
        <x:f>IF(AND(ISNUMBER($G21),AH$9=$G21),"◆","")</x:f>
        <x:v/>
      </x:c>
      <x:c r="AI21" s="34" t="str">
        <x:f>IF(AND(ISNUMBER($G21),AI$9=$G21),"◆","")</x:f>
        <x:v/>
      </x:c>
      <x:c r="AJ21" s="76" t="str">
        <x:f>IF(AND(ISNUMBER($G21),AJ$9=$G21),"◆","")</x:f>
        <x:v/>
      </x:c>
      <x:c r="AK21" s="76" t="str">
        <x:f>IF(AND(ISNUMBER($G21),AK$9=$G21),"◆","")</x:f>
        <x:v/>
      </x:c>
      <x:c r="AL21" s="83" t="str">
        <x:f>IF(AND(ISNUMBER($G21),AL$9=$G21),"◆","")</x:f>
        <x:v/>
      </x:c>
      <x:c r="AM21" s="4" t="str">
        <x:v>02 인프라 구축·통신 검증</x:v>
      </x:c>
      <x:c r="AN21" s="49" t="n">
        <x:v>46318</x:v>
      </x:c>
      <x:c r="AO21" s="49" t="n">
        <x:v>46321</x:v>
      </x:c>
      <x:c r="AP21" s="4" t="str">
        <x:v>WBS 세부 구간 10/21–23 장비·OS·기본 통신, 10/26–28 기본 서비스. 망 간 VPN은 C7, 실제 앱 배포는 D4에서 한 번만 기록. M2 로그·Wazuh 준비는 #9와 동일 증거.</x:v>
      </x:c>
      <x:c r="AQ21" s="4" t="str">
        <x:v>#29 10/21 댓글: UTM VM 설치·Windows 10 연결 성공. 전체 기본망 완료는 미확인.</x:v>
      </x:c>
      <x:c r="AR21" s="4" t="n">
        <x:f>IF(OR(ISNUMBER(SEARCH(AR$9,$D21)),ISNUMBER(SEARCH(AR$9,$E21))),1*100000000+IF(ISNUMBER($F21),$F21,99999)*1000+ROW(),1000000000)</x:f>
        <x:v>1000000000.0</x:v>
      </x:c>
      <x:c r="AS21" s="4" t="n">
        <x:f>IF(OR(ISNUMBER(SEARCH(AS$9,$D21)),ISNUMBER(SEARCH(AS$9,$E21))),2*100000000+IF(ISNUMBER($F21),$F21,99999)*1000+ROW(),1000000000)</x:f>
        <x:v>1000000000.0</x:v>
      </x:c>
      <x:c r="AT21" s="4" t="n">
        <x:f>IF(OR(ISNUMBER(SEARCH(AT$9,$D21)),ISNUMBER(SEARCH(AT$9,$E21))),3*100000000+IF(ISNUMBER($F21),$F21,99999)*1000+ROW(),1000000000)</x:f>
        <x:v>1000000000.0</x:v>
      </x:c>
      <x:c r="AU21" s="4" t="n">
        <x:f>IF(OR(ISNUMBER(SEARCH(AU$9,$D21)),ISNUMBER(SEARCH(AU$9,$E21))),4*100000000+IF(ISNUMBER($F21),$F21,99999)*1000+ROW(),1000000000)</x:f>
        <x:v>446316021.0</x:v>
      </x:c>
      <x:c r="AV21" s="4" t="n">
        <x:f>IF(OR(ISNUMBER(SEARCH(AV$9,$D21)),ISNUMBER(SEARCH(AV$9,$E21))),5*100000000+IF(ISNUMBER($F21),$F21,99999)*1000+ROW(),1000000000)</x:f>
        <x:v>1000000000.0</x:v>
      </x:c>
      <x:c r="AW21" s="4" t="str">
        <x:v>https://github.com/team-blocks-lab/otter-shield/issues/29</x:v>
      </x:c>
      <x:c r="AX21" s="4" t="str">
        <x:v>#29</x:v>
      </x:c>
      <x:c r="AY21" s="106" t="str">
        <x:v>C6.1의 해당 망 IP/NIC·자원 확인 후 독립 구간부터 착수. 전체 검토 종료와 별개.</x:v>
      </x:c>
    </x:row>
    <x:row r="22" ht="31" customHeight="1">
      <x:c r="A22" s="66" t="str">
        <x:v>I34</x:v>
      </x:c>
      <x:c r="B22" s="67" t="str">
        <x:v>인프라</x:v>
      </x:c>
      <x:c r="C22" s="31" t="str">
        <x:v>캐나다 장비 구성·기본 통신 검증</x:v>
      </x:c>
      <x:c r="D22" s="31" t="str">
        <x:v>M5 유은혜(PM)</x:v>
      </x:c>
      <x:c r="E22" s="31" t="str">
        <x:v>—</x:v>
      </x:c>
      <x:c r="F22" s="41" t="n">
        <x:v>46316</x:v>
      </x:c>
      <x:c r="G22" s="41" t="n">
        <x:v>46323</x:v>
      </x:c>
      <x:c r="H22" s="42" t="str">
        <x:v>미확인</x:v>
      </x:c>
      <x:c r="I22" s="31" t="str">
        <x:v>I05, C6.1</x:v>
      </x:c>
      <x:c r="J22" s="65" t="str">
        <x:f>HYPERLINK($AW22,"#34")</x:f>
        <x:v>#34</x:v>
      </x:c>
      <x:c r="K22" s="34" t="str">
        <x:f>IF(AND(ISNUMBER($G22),K$9=$G22),"◆","")</x:f>
        <x:v/>
      </x:c>
      <x:c r="L22" s="74" t="str">
        <x:f>IF(AND(ISNUMBER($G22),L$9=$G22),"◆","")</x:f>
        <x:v/>
      </x:c>
      <x:c r="M22" s="34" t="str">
        <x:f>IF(AND(ISNUMBER($G22),M$9=$G22),"◆","")</x:f>
        <x:v/>
      </x:c>
      <x:c r="N22" s="34" t="str">
        <x:f>IF(AND(ISNUMBER($G22),N$9=$G22),"◆","")</x:f>
        <x:v/>
      </x:c>
      <x:c r="O22" s="76" t="str">
        <x:f>IF(AND(ISNUMBER($G22),O$9=$G22),"◆","")</x:f>
        <x:v/>
      </x:c>
      <x:c r="P22" s="76" t="str">
        <x:f>IF(AND(ISNUMBER($G22),P$9=$G22),"◆","")</x:f>
        <x:v/>
      </x:c>
      <x:c r="Q22" s="83" t="str">
        <x:f>IF(AND(ISNUMBER($G22),Q$9=$G22),"◆","")</x:f>
        <x:v/>
      </x:c>
      <x:c r="R22" s="34" t="str">
        <x:f>IF(AND(ISNUMBER($G22),R$9=$G22),"◆","")</x:f>
        <x:v/>
      </x:c>
      <x:c r="S22" s="34" t="str">
        <x:f>IF(AND(ISNUMBER($G22),S$9=$G22),"◆","")</x:f>
        <x:v>◆</x:v>
      </x:c>
      <x:c r="T22" s="34" t="str">
        <x:f>IF(AND(ISNUMBER($G22),T$9=$G22),"◆","")</x:f>
        <x:v/>
      </x:c>
      <x:c r="U22" s="34" t="str">
        <x:f>IF(AND(ISNUMBER($G22),U$9=$G22),"◆","")</x:f>
        <x:v/>
      </x:c>
      <x:c r="V22" s="76" t="str">
        <x:f>IF(AND(ISNUMBER($G22),V$9=$G22),"◆","")</x:f>
        <x:v/>
      </x:c>
      <x:c r="W22" s="86" t="str">
        <x:f>IF(AND(ISNUMBER($G22),W$9=$G22),"◆","")</x:f>
        <x:v/>
      </x:c>
      <x:c r="X22" s="83" t="str">
        <x:f>IF(AND(ISNUMBER($G22),X$9=$G22),"◆","")</x:f>
        <x:v/>
      </x:c>
      <x:c r="Y22" s="34" t="str">
        <x:f>IF(AND(ISNUMBER($G22),Y$9=$G22),"◆","")</x:f>
        <x:v/>
      </x:c>
      <x:c r="Z22" s="34" t="str">
        <x:f>IF(AND(ISNUMBER($G22),Z$9=$G22),"◆","")</x:f>
        <x:v/>
      </x:c>
      <x:c r="AA22" s="34" t="str">
        <x:f>IF(AND(ISNUMBER($G22),AA$9=$G22),"◆","")</x:f>
        <x:v/>
      </x:c>
      <x:c r="AB22" s="34" t="str">
        <x:f>IF(AND(ISNUMBER($G22),AB$9=$G22),"◆","")</x:f>
        <x:v/>
      </x:c>
      <x:c r="AC22" s="76" t="str">
        <x:f>IF(AND(ISNUMBER($G22),AC$9=$G22),"◆","")</x:f>
        <x:v/>
      </x:c>
      <x:c r="AD22" s="76" t="str">
        <x:f>IF(AND(ISNUMBER($G22),AD$9=$G22),"◆","")</x:f>
        <x:v/>
      </x:c>
      <x:c r="AE22" s="83" t="str">
        <x:f>IF(AND(ISNUMBER($G22),AE$9=$G22),"◆","")</x:f>
        <x:v/>
      </x:c>
      <x:c r="AF22" s="34" t="str">
        <x:f>IF(AND(ISNUMBER($G22),AF$9=$G22),"◆","")</x:f>
        <x:v/>
      </x:c>
      <x:c r="AG22" s="34" t="str">
        <x:f>IF(AND(ISNUMBER($G22),AG$9=$G22),"◆","")</x:f>
        <x:v/>
      </x:c>
      <x:c r="AH22" s="34" t="str">
        <x:f>IF(AND(ISNUMBER($G22),AH$9=$G22),"◆","")</x:f>
        <x:v/>
      </x:c>
      <x:c r="AI22" s="34" t="str">
        <x:f>IF(AND(ISNUMBER($G22),AI$9=$G22),"◆","")</x:f>
        <x:v/>
      </x:c>
      <x:c r="AJ22" s="76" t="str">
        <x:f>IF(AND(ISNUMBER($G22),AJ$9=$G22),"◆","")</x:f>
        <x:v/>
      </x:c>
      <x:c r="AK22" s="76" t="str">
        <x:f>IF(AND(ISNUMBER($G22),AK$9=$G22),"◆","")</x:f>
        <x:v/>
      </x:c>
      <x:c r="AL22" s="83" t="str">
        <x:f>IF(AND(ISNUMBER($G22),AL$9=$G22),"◆","")</x:f>
        <x:v/>
      </x:c>
      <x:c r="AM22" s="4" t="str">
        <x:v>02 인프라 구축·통신 검증</x:v>
      </x:c>
      <x:c r="AN22" s="49" t="n">
        <x:v>46318</x:v>
      </x:c>
      <x:c r="AO22" s="49" t="n">
        <x:v>46321</x:v>
      </x:c>
      <x:c r="AP22" s="4" t="str">
        <x:v>WBS 세부 구간 10/21–23 장비·OS·기본 통신, 10/26–28 기본 서비스. 망 간 VPN은 C7, 실제 앱 배포는 D4에서 한 번만 기록. M2 로그·Wazuh 준비는 #9와 동일 증거.</x:v>
      </x:c>
      <x:c r="AQ22" s="4" t="str">
        <x:v>#34 OPEN 0/8</x:v>
      </x:c>
      <x:c r="AR22" s="4" t="n">
        <x:f>IF(OR(ISNUMBER(SEARCH(AR$9,$D22)),ISNUMBER(SEARCH(AR$9,$E22))),1*100000000+IF(ISNUMBER($F22),$F22,99999)*1000+ROW(),1000000000)</x:f>
        <x:v>1000000000.0</x:v>
      </x:c>
      <x:c r="AS22" s="4" t="n">
        <x:f>IF(OR(ISNUMBER(SEARCH(AS$9,$D22)),ISNUMBER(SEARCH(AS$9,$E22))),2*100000000+IF(ISNUMBER($F22),$F22,99999)*1000+ROW(),1000000000)</x:f>
        <x:v>1000000000.0</x:v>
      </x:c>
      <x:c r="AT22" s="4" t="n">
        <x:f>IF(OR(ISNUMBER(SEARCH(AT$9,$D22)),ISNUMBER(SEARCH(AT$9,$E22))),3*100000000+IF(ISNUMBER($F22),$F22,99999)*1000+ROW(),1000000000)</x:f>
        <x:v>1000000000.0</x:v>
      </x:c>
      <x:c r="AU22" s="4" t="n">
        <x:f>IF(OR(ISNUMBER(SEARCH(AU$9,$D22)),ISNUMBER(SEARCH(AU$9,$E22))),4*100000000+IF(ISNUMBER($F22),$F22,99999)*1000+ROW(),1000000000)</x:f>
        <x:v>1000000000.0</x:v>
      </x:c>
      <x:c r="AV22" s="4" t="n">
        <x:f>IF(OR(ISNUMBER(SEARCH(AV$9,$D22)),ISNUMBER(SEARCH(AV$9,$E22))),5*100000000+IF(ISNUMBER($F22),$F22,99999)*1000+ROW(),1000000000)</x:f>
        <x:v>546316022.0</x:v>
      </x:c>
      <x:c r="AW22" s="4" t="str">
        <x:v>https://github.com/team-blocks-lab/otter-shield/issues/34</x:v>
      </x:c>
      <x:c r="AX22" s="4" t="str">
        <x:v>#34</x:v>
      </x:c>
      <x:c r="AY22" s="106" t="str">
        <x:v>C6.1의 해당 망 IP/NIC·자원 확인 후 독립 구간부터 착수. 전체 검토 종료와 별개.</x:v>
      </x:c>
    </x:row>
    <x:row r="23" ht="52" customHeight="1">
      <x:c r="A23" s="66" t="str">
        <x:v>C7</x:v>
      </x:c>
      <x:c r="B23" s="67" t="str">
        <x:v>인프라</x:v>
      </x:c>
      <x:c r="C23" s="31" t="str">
        <x:v>망 간 라우팅·VPN 구성 및 검증</x:v>
      </x:c>
      <x:c r="D23" s="31" t="str">
        <x:v>M1 유용수</x:v>
      </x:c>
      <x:c r="E23" s="31" t="str">
        <x:v>M2 윤서영 · M3 홍은서
M4 박진혁 · M5 유은혜</x:v>
      </x:c>
      <x:c r="F23" s="41" t="n">
        <x:v>46317</x:v>
      </x:c>
      <x:c r="G23" s="41" t="n">
        <x:v>46323</x:v>
      </x:c>
      <x:c r="H23" s="42" t="str">
        <x:v>미확인</x:v>
      </x:c>
      <x:c r="I23" s="31" t="str">
        <x:v>C6.1, I14, I19, I24, I29, I34</x:v>
      </x:c>
      <x:c r="J23" s="65" t="str">
        <x:f>HYPERLINK($AW23,"#7")</x:f>
        <x:v>#7</x:v>
      </x:c>
      <x:c r="K23" s="34" t="str">
        <x:f>IF(AND(ISNUMBER($G23),K$9=$G23),"◆","")</x:f>
        <x:v/>
      </x:c>
      <x:c r="L23" s="74" t="str">
        <x:f>IF(AND(ISNUMBER($G23),L$9=$G23),"◆","")</x:f>
        <x:v/>
      </x:c>
      <x:c r="M23" s="34" t="str">
        <x:f>IF(AND(ISNUMBER($G23),M$9=$G23),"◆","")</x:f>
        <x:v/>
      </x:c>
      <x:c r="N23" s="34" t="str">
        <x:f>IF(AND(ISNUMBER($G23),N$9=$G23),"◆","")</x:f>
        <x:v/>
      </x:c>
      <x:c r="O23" s="76" t="str">
        <x:f>IF(AND(ISNUMBER($G23),O$9=$G23),"◆","")</x:f>
        <x:v/>
      </x:c>
      <x:c r="P23" s="76" t="str">
        <x:f>IF(AND(ISNUMBER($G23),P$9=$G23),"◆","")</x:f>
        <x:v/>
      </x:c>
      <x:c r="Q23" s="83" t="str">
        <x:f>IF(AND(ISNUMBER($G23),Q$9=$G23),"◆","")</x:f>
        <x:v/>
      </x:c>
      <x:c r="R23" s="34" t="str">
        <x:f>IF(AND(ISNUMBER($G23),R$9=$G23),"◆","")</x:f>
        <x:v/>
      </x:c>
      <x:c r="S23" s="34" t="str">
        <x:f>IF(AND(ISNUMBER($G23),S$9=$G23),"◆","")</x:f>
        <x:v>◆</x:v>
      </x:c>
      <x:c r="T23" s="34" t="str">
        <x:f>IF(AND(ISNUMBER($G23),T$9=$G23),"◆","")</x:f>
        <x:v/>
      </x:c>
      <x:c r="U23" s="34" t="str">
        <x:f>IF(AND(ISNUMBER($G23),U$9=$G23),"◆","")</x:f>
        <x:v/>
      </x:c>
      <x:c r="V23" s="76" t="str">
        <x:f>IF(AND(ISNUMBER($G23),V$9=$G23),"◆","")</x:f>
        <x:v/>
      </x:c>
      <x:c r="W23" s="86" t="str">
        <x:f>IF(AND(ISNUMBER($G23),W$9=$G23),"◆","")</x:f>
        <x:v/>
      </x:c>
      <x:c r="X23" s="83" t="str">
        <x:f>IF(AND(ISNUMBER($G23),X$9=$G23),"◆","")</x:f>
        <x:v/>
      </x:c>
      <x:c r="Y23" s="34" t="str">
        <x:f>IF(AND(ISNUMBER($G23),Y$9=$G23),"◆","")</x:f>
        <x:v/>
      </x:c>
      <x:c r="Z23" s="34" t="str">
        <x:f>IF(AND(ISNUMBER($G23),Z$9=$G23),"◆","")</x:f>
        <x:v/>
      </x:c>
      <x:c r="AA23" s="34" t="str">
        <x:f>IF(AND(ISNUMBER($G23),AA$9=$G23),"◆","")</x:f>
        <x:v/>
      </x:c>
      <x:c r="AB23" s="34" t="str">
        <x:f>IF(AND(ISNUMBER($G23),AB$9=$G23),"◆","")</x:f>
        <x:v/>
      </x:c>
      <x:c r="AC23" s="76" t="str">
        <x:f>IF(AND(ISNUMBER($G23),AC$9=$G23),"◆","")</x:f>
        <x:v/>
      </x:c>
      <x:c r="AD23" s="76" t="str">
        <x:f>IF(AND(ISNUMBER($G23),AD$9=$G23),"◆","")</x:f>
        <x:v/>
      </x:c>
      <x:c r="AE23" s="83" t="str">
        <x:f>IF(AND(ISNUMBER($G23),AE$9=$G23),"◆","")</x:f>
        <x:v/>
      </x:c>
      <x:c r="AF23" s="34" t="str">
        <x:f>IF(AND(ISNUMBER($G23),AF$9=$G23),"◆","")</x:f>
        <x:v/>
      </x:c>
      <x:c r="AG23" s="34" t="str">
        <x:f>IF(AND(ISNUMBER($G23),AG$9=$G23),"◆","")</x:f>
        <x:v/>
      </x:c>
      <x:c r="AH23" s="34" t="str">
        <x:f>IF(AND(ISNUMBER($G23),AH$9=$G23),"◆","")</x:f>
        <x:v/>
      </x:c>
      <x:c r="AI23" s="34" t="str">
        <x:f>IF(AND(ISNUMBER($G23),AI$9=$G23),"◆","")</x:f>
        <x:v/>
      </x:c>
      <x:c r="AJ23" s="76" t="str">
        <x:f>IF(AND(ISNUMBER($G23),AJ$9=$G23),"◆","")</x:f>
        <x:v/>
      </x:c>
      <x:c r="AK23" s="76" t="str">
        <x:f>IF(AND(ISNUMBER($G23),AK$9=$G23),"◆","")</x:f>
        <x:v/>
      </x:c>
      <x:c r="AL23" s="83" t="str">
        <x:f>IF(AND(ISNUMBER($G23),AL$9=$G23),"◆","")</x:f>
        <x:v/>
      </x:c>
      <x:c r="AM23" s="4" t="str">
        <x:v>02 인프라 구축·통신 검증</x:v>
      </x:c>
      <x:c r="AN23" s="49" t="n">
        <x:v>46318</x:v>
      </x:c>
      <x:c r="AO23" s="49" t="n">
        <x:v>46321</x:v>
      </x:c>
      <x:c r="AP23" s="4" t="str">
        <x:v>10/21 일반 라우팅 결정 반영. 대표 경로 10/22–23, 전체 통신 10/26–28 목표. 주소·반환 경로·NAT 예외·출발지 IP 보존 확인.</x:v>
      </x:c>
      <x:c r="AQ23" s="4" t="str">
        <x:v>#7 OPEN 0/12</x:v>
      </x:c>
      <x:c r="AR23" s="4" t="n">
        <x:f>IF(OR(ISNUMBER(SEARCH(AR$9,$D23)),ISNUMBER(SEARCH(AR$9,$E23))),1*100000000+IF(ISNUMBER($F23),$F23,99999)*1000+ROW(),1000000000)</x:f>
        <x:v>146317023.0</x:v>
      </x:c>
      <x:c r="AS23" s="4" t="n">
        <x:f>IF(OR(ISNUMBER(SEARCH(AS$9,$D23)),ISNUMBER(SEARCH(AS$9,$E23))),2*100000000+IF(ISNUMBER($F23),$F23,99999)*1000+ROW(),1000000000)</x:f>
        <x:v>246317023.0</x:v>
      </x:c>
      <x:c r="AT23" s="4" t="n">
        <x:f>IF(OR(ISNUMBER(SEARCH(AT$9,$D23)),ISNUMBER(SEARCH(AT$9,$E23))),3*100000000+IF(ISNUMBER($F23),$F23,99999)*1000+ROW(),1000000000)</x:f>
        <x:v>346317023.0</x:v>
      </x:c>
      <x:c r="AU23" s="4" t="n">
        <x:f>IF(OR(ISNUMBER(SEARCH(AU$9,$D23)),ISNUMBER(SEARCH(AU$9,$E23))),4*100000000+IF(ISNUMBER($F23),$F23,99999)*1000+ROW(),1000000000)</x:f>
        <x:v>446317023.0</x:v>
      </x:c>
      <x:c r="AV23" s="4" t="n">
        <x:f>IF(OR(ISNUMBER(SEARCH(AV$9,$D23)),ISNUMBER(SEARCH(AV$9,$E23))),5*100000000+IF(ISNUMBER($F23),$F23,99999)*1000+ROW(),1000000000)</x:f>
        <x:v>546317023.0</x:v>
      </x:c>
      <x:c r="AW23" s="4" t="str">
        <x:v>https://github.com/team-blocks-lab/otter-shield/issues/7</x:v>
      </x:c>
      <x:c r="AX23" s="4" t="str">
        <x:v>#7</x:v>
      </x:c>
      <x:c r="AY23" s="106" t="str">
        <x:v>대표 장비·해당 구간 주소/NIC 검토 후 부분 착수. M1–M3 일반 라우팅, 나머지 VPN은 기존 범위 유지.</x:v>
      </x:c>
    </x:row>
    <x:row r="24" ht="31" customHeight="1">
      <x:c r="A24" s="66" t="str">
        <x:v>C10.1</x:v>
      </x:c>
      <x:c r="B24" s="67" t="str">
        <x:v>공동·관리</x:v>
      </x:c>
      <x:c r="C24" s="31" t="str">
        <x:v>DB 구성·복구 목표 협의</x:v>
      </x:c>
      <x:c r="D24" s="31" t="str">
        <x:v>M4 박진혁</x:v>
      </x:c>
      <x:c r="E24" s="31" t="str">
        <x:v>M3 홍은서</x:v>
      </x:c>
      <x:c r="F24" s="41" t="n">
        <x:v>46318</x:v>
      </x:c>
      <x:c r="G24" s="41" t="n">
        <x:v>46318</x:v>
      </x:c>
      <x:c r="H24" s="42" t="str">
        <x:v>미확인</x:v>
      </x:c>
      <x:c r="I24" s="31" t="str">
        <x:v>C6.1</x:v>
      </x:c>
      <x:c r="J24" s="65" t="str">
        <x:f>HYPERLINK($AW24,"#10")</x:f>
        <x:v>#10</x:v>
      </x:c>
      <x:c r="K24" s="34" t="str">
        <x:f>IF(AND(ISNUMBER($G24),K$9=$G24),"◆","")</x:f>
        <x:v/>
      </x:c>
      <x:c r="L24" s="74" t="str">
        <x:f>IF(AND(ISNUMBER($G24),L$9=$G24),"◆","")</x:f>
        <x:v/>
      </x:c>
      <x:c r="M24" s="34" t="str">
        <x:f>IF(AND(ISNUMBER($G24),M$9=$G24),"◆","")</x:f>
        <x:v/>
      </x:c>
      <x:c r="N24" s="34" t="str">
        <x:f>IF(AND(ISNUMBER($G24),N$9=$G24),"◆","")</x:f>
        <x:v>◆</x:v>
      </x:c>
      <x:c r="O24" s="76" t="str">
        <x:f>IF(AND(ISNUMBER($G24),O$9=$G24),"◆","")</x:f>
        <x:v/>
      </x:c>
      <x:c r="P24" s="76" t="str">
        <x:f>IF(AND(ISNUMBER($G24),P$9=$G24),"◆","")</x:f>
        <x:v/>
      </x:c>
      <x:c r="Q24" s="83" t="str">
        <x:f>IF(AND(ISNUMBER($G24),Q$9=$G24),"◆","")</x:f>
        <x:v/>
      </x:c>
      <x:c r="R24" s="34" t="str">
        <x:f>IF(AND(ISNUMBER($G24),R$9=$G24),"◆","")</x:f>
        <x:v/>
      </x:c>
      <x:c r="S24" s="34" t="str">
        <x:f>IF(AND(ISNUMBER($G24),S$9=$G24),"◆","")</x:f>
        <x:v/>
      </x:c>
      <x:c r="T24" s="34" t="str">
        <x:f>IF(AND(ISNUMBER($G24),T$9=$G24),"◆","")</x:f>
        <x:v/>
      </x:c>
      <x:c r="U24" s="34" t="str">
        <x:f>IF(AND(ISNUMBER($G24),U$9=$G24),"◆","")</x:f>
        <x:v/>
      </x:c>
      <x:c r="V24" s="76" t="str">
        <x:f>IF(AND(ISNUMBER($G24),V$9=$G24),"◆","")</x:f>
        <x:v/>
      </x:c>
      <x:c r="W24" s="86" t="str">
        <x:f>IF(AND(ISNUMBER($G24),W$9=$G24),"◆","")</x:f>
        <x:v/>
      </x:c>
      <x:c r="X24" s="83" t="str">
        <x:f>IF(AND(ISNUMBER($G24),X$9=$G24),"◆","")</x:f>
        <x:v/>
      </x:c>
      <x:c r="Y24" s="34" t="str">
        <x:f>IF(AND(ISNUMBER($G24),Y$9=$G24),"◆","")</x:f>
        <x:v/>
      </x:c>
      <x:c r="Z24" s="34" t="str">
        <x:f>IF(AND(ISNUMBER($G24),Z$9=$G24),"◆","")</x:f>
        <x:v/>
      </x:c>
      <x:c r="AA24" s="34" t="str">
        <x:f>IF(AND(ISNUMBER($G24),AA$9=$G24),"◆","")</x:f>
        <x:v/>
      </x:c>
      <x:c r="AB24" s="34" t="str">
        <x:f>IF(AND(ISNUMBER($G24),AB$9=$G24),"◆","")</x:f>
        <x:v/>
      </x:c>
      <x:c r="AC24" s="76" t="str">
        <x:f>IF(AND(ISNUMBER($G24),AC$9=$G24),"◆","")</x:f>
        <x:v/>
      </x:c>
      <x:c r="AD24" s="76" t="str">
        <x:f>IF(AND(ISNUMBER($G24),AD$9=$G24),"◆","")</x:f>
        <x:v/>
      </x:c>
      <x:c r="AE24" s="83" t="str">
        <x:f>IF(AND(ISNUMBER($G24),AE$9=$G24),"◆","")</x:f>
        <x:v/>
      </x:c>
      <x:c r="AF24" s="34" t="str">
        <x:f>IF(AND(ISNUMBER($G24),AF$9=$G24),"◆","")</x:f>
        <x:v/>
      </x:c>
      <x:c r="AG24" s="34" t="str">
        <x:f>IF(AND(ISNUMBER($G24),AG$9=$G24),"◆","")</x:f>
        <x:v/>
      </x:c>
      <x:c r="AH24" s="34" t="str">
        <x:f>IF(AND(ISNUMBER($G24),AH$9=$G24),"◆","")</x:f>
        <x:v/>
      </x:c>
      <x:c r="AI24" s="34" t="str">
        <x:f>IF(AND(ISNUMBER($G24),AI$9=$G24),"◆","")</x:f>
        <x:v/>
      </x:c>
      <x:c r="AJ24" s="76" t="str">
        <x:f>IF(AND(ISNUMBER($G24),AJ$9=$G24),"◆","")</x:f>
        <x:v/>
      </x:c>
      <x:c r="AK24" s="76" t="str">
        <x:f>IF(AND(ISNUMBER($G24),AK$9=$G24),"◆","")</x:f>
        <x:v/>
      </x:c>
      <x:c r="AL24" s="83" t="str">
        <x:f>IF(AND(ISNUMBER($G24),AL$9=$G24),"◆","")</x:f>
        <x:v/>
      </x:c>
      <x:c r="AM24" s="4" t="str">
        <x:v>02 인프라 구축·통신 검증</x:v>
      </x:c>
      <x:c r="AN24" s="49"/>
      <x:c r="AO24" s="49"/>
      <x:c r="AP24" s="4" t="str">
        <x:v>버전·계정·복제·허용 손실·복구 시간 합의. 실제 복제 적용은 11/03 설계 뒤.</x:v>
      </x:c>
      <x:c r="AQ24" s="4" t="str">
        <x:v>#10 OPEN 0/9</x:v>
      </x:c>
      <x:c r="AR24" s="4" t="n">
        <x:f>IF(OR(ISNUMBER(SEARCH(AR$9,$D24)),ISNUMBER(SEARCH(AR$9,$E24))),1*100000000+IF(ISNUMBER($F24),$F24,99999)*1000+ROW(),1000000000)</x:f>
        <x:v>1000000000.0</x:v>
      </x:c>
      <x:c r="AS24" s="4" t="n">
        <x:f>IF(OR(ISNUMBER(SEARCH(AS$9,$D24)),ISNUMBER(SEARCH(AS$9,$E24))),2*100000000+IF(ISNUMBER($F24),$F24,99999)*1000+ROW(),1000000000)</x:f>
        <x:v>1000000000.0</x:v>
      </x:c>
      <x:c r="AT24" s="4" t="n">
        <x:f>IF(OR(ISNUMBER(SEARCH(AT$9,$D24)),ISNUMBER(SEARCH(AT$9,$E24))),3*100000000+IF(ISNUMBER($F24),$F24,99999)*1000+ROW(),1000000000)</x:f>
        <x:v>346318024.0</x:v>
      </x:c>
      <x:c r="AU24" s="4" t="n">
        <x:f>IF(OR(ISNUMBER(SEARCH(AU$9,$D24)),ISNUMBER(SEARCH(AU$9,$E24))),4*100000000+IF(ISNUMBER($F24),$F24,99999)*1000+ROW(),1000000000)</x:f>
        <x:v>446318024.0</x:v>
      </x:c>
      <x:c r="AV24" s="4" t="n">
        <x:f>IF(OR(ISNUMBER(SEARCH(AV$9,$D24)),ISNUMBER(SEARCH(AV$9,$E24))),5*100000000+IF(ISNUMBER($F24),$F24,99999)*1000+ROW(),1000000000)</x:f>
        <x:v>1000000000.0</x:v>
      </x:c>
      <x:c r="AW24" s="4" t="str">
        <x:v>https://github.com/team-blocks-lab/otter-shield/issues/10</x:v>
      </x:c>
      <x:c r="AX24" s="4" t="str">
        <x:v>#10</x:v>
      </x:c>
      <x:c r="AY24" s="106" t="str">
        <x:v>병행 협의</x:v>
      </x:c>
    </x:row>
    <x:row r="25" ht="31" customHeight="1">
      <x:c r="A25" s="66" t="str">
        <x:v>C10.2</x:v>
      </x:c>
      <x:c r="B25" s="67" t="str">
        <x:v>인프라</x:v>
      </x:c>
      <x:c r="C25" s="31" t="str">
        <x:v>복제 DB·격리 복원 환경 준비</x:v>
      </x:c>
      <x:c r="D25" s="31" t="str">
        <x:v>M4 박진혁</x:v>
      </x:c>
      <x:c r="E25" s="31" t="str">
        <x:v>M3 홍은서</x:v>
      </x:c>
      <x:c r="F25" s="41" t="n">
        <x:v>46321</x:v>
      </x:c>
      <x:c r="G25" s="41" t="n">
        <x:v>46325</x:v>
      </x:c>
      <x:c r="H25" s="42" t="str">
        <x:v>미확인</x:v>
      </x:c>
      <x:c r="I25" s="31" t="str">
        <x:v>C10.1, I24, I29</x:v>
      </x:c>
      <x:c r="J25" s="65" t="str">
        <x:f>HYPERLINK($AW25,"#10 +1")</x:f>
        <x:v>#10 +1</x:v>
      </x:c>
      <x:c r="K25" s="34" t="str">
        <x:f>""</x:f>
        <x:v/>
      </x:c>
      <x:c r="L25" s="74" t="str">
        <x:f>""</x:f>
        <x:v/>
      </x:c>
      <x:c r="M25" s="34" t="str">
        <x:f>""</x:f>
        <x:v/>
      </x:c>
      <x:c r="N25" s="34" t="str">
        <x:f>""</x:f>
        <x:v/>
      </x:c>
      <x:c r="O25" s="76" t="str">
        <x:f>""</x:f>
        <x:v/>
      </x:c>
      <x:c r="P25" s="76" t="str">
        <x:f>""</x:f>
        <x:v/>
      </x:c>
      <x:c r="Q25" s="83" t="str">
        <x:f>""</x:f>
        <x:v/>
      </x:c>
      <x:c r="R25" s="34" t="str">
        <x:f>""</x:f>
        <x:v/>
      </x:c>
      <x:c r="S25" s="34" t="str">
        <x:f>""</x:f>
        <x:v/>
      </x:c>
      <x:c r="T25" s="34" t="str">
        <x:f>""</x:f>
        <x:v/>
      </x:c>
      <x:c r="U25" s="34" t="str">
        <x:f>""</x:f>
        <x:v/>
      </x:c>
      <x:c r="V25" s="76" t="str">
        <x:f>""</x:f>
        <x:v/>
      </x:c>
      <x:c r="W25" s="86" t="str">
        <x:f>""</x:f>
        <x:v/>
      </x:c>
      <x:c r="X25" s="83" t="str">
        <x:f>""</x:f>
        <x:v/>
      </x:c>
      <x:c r="Y25" s="34" t="str">
        <x:f>""</x:f>
        <x:v/>
      </x:c>
      <x:c r="Z25" s="34" t="str">
        <x:f>""</x:f>
        <x:v/>
      </x:c>
      <x:c r="AA25" s="34" t="str">
        <x:f>""</x:f>
        <x:v/>
      </x:c>
      <x:c r="AB25" s="34" t="str">
        <x:f>""</x:f>
        <x:v/>
      </x:c>
      <x:c r="AC25" s="76" t="str">
        <x:f>""</x:f>
        <x:v/>
      </x:c>
      <x:c r="AD25" s="76" t="str">
        <x:f>""</x:f>
        <x:v/>
      </x:c>
      <x:c r="AE25" s="83" t="str">
        <x:f>""</x:f>
        <x:v/>
      </x:c>
      <x:c r="AF25" s="34" t="str">
        <x:f>""</x:f>
        <x:v/>
      </x:c>
      <x:c r="AG25" s="34" t="str">
        <x:f>""</x:f>
        <x:v/>
      </x:c>
      <x:c r="AH25" s="34" t="str">
        <x:f>""</x:f>
        <x:v/>
      </x:c>
      <x:c r="AI25" s="34" t="str">
        <x:f>""</x:f>
        <x:v/>
      </x:c>
      <x:c r="AJ25" s="76" t="str">
        <x:f>""</x:f>
        <x:v/>
      </x:c>
      <x:c r="AK25" s="76" t="str">
        <x:f>""</x:f>
        <x:v/>
      </x:c>
      <x:c r="AL25" s="83" t="str">
        <x:f>""</x:f>
        <x:v/>
      </x:c>
      <x:c r="AM25" s="4" t="str">
        <x:v>02 인프라 구축·통신 검증</x:v>
      </x:c>
      <x:c r="AN25" s="49"/>
      <x:c r="AO25" s="49"/>
      <x:c r="AP25" s="4" t="str">
        <x:v>복원 사본·매체·디스크·별도 복원 서버 준비. 실제 복제는 I31.3. S04 시험과 DB 복원은 독립.</x:v>
      </x:c>
      <x:c r="AQ25" s="4" t="str">
        <x:v>#10 OPEN 0/9; #29 OPEN 0/8</x:v>
      </x:c>
      <x:c r="AR25" s="4" t="n">
        <x:f>IF(OR(ISNUMBER(SEARCH(AR$9,$D25)),ISNUMBER(SEARCH(AR$9,$E25))),1*100000000+IF(ISNUMBER($F25),$F25,99999)*1000+ROW(),1000000000)</x:f>
        <x:v>1000000000.0</x:v>
      </x:c>
      <x:c r="AS25" s="4" t="n">
        <x:f>IF(OR(ISNUMBER(SEARCH(AS$9,$D25)),ISNUMBER(SEARCH(AS$9,$E25))),2*100000000+IF(ISNUMBER($F25),$F25,99999)*1000+ROW(),1000000000)</x:f>
        <x:v>1000000000.0</x:v>
      </x:c>
      <x:c r="AT25" s="4" t="n">
        <x:f>IF(OR(ISNUMBER(SEARCH(AT$9,$D25)),ISNUMBER(SEARCH(AT$9,$E25))),3*100000000+IF(ISNUMBER($F25),$F25,99999)*1000+ROW(),1000000000)</x:f>
        <x:v>346321025.0</x:v>
      </x:c>
      <x:c r="AU25" s="4" t="n">
        <x:f>IF(OR(ISNUMBER(SEARCH(AU$9,$D25)),ISNUMBER(SEARCH(AU$9,$E25))),4*100000000+IF(ISNUMBER($F25),$F25,99999)*1000+ROW(),1000000000)</x:f>
        <x:v>446321025.0</x:v>
      </x:c>
      <x:c r="AV25" s="4" t="n">
        <x:f>IF(OR(ISNUMBER(SEARCH(AV$9,$D25)),ISNUMBER(SEARCH(AV$9,$E25))),5*100000000+IF(ISNUMBER($F25),$F25,99999)*1000+ROW(),1000000000)</x:f>
        <x:v>1000000000.0</x:v>
      </x:c>
      <x:c r="AW25" s="4" t="str">
        <x:v>https://github.com/team-blocks-lab/otter-shield/issues/10</x:v>
      </x:c>
      <x:c r="AX25" s="4" t="str">
        <x:v>#10; #29</x:v>
      </x:c>
      <x:c r="AY25" s="106" t="str">
        <x:v>기반 준비 후</x:v>
      </x:c>
    </x:row>
    <x:row r="26" ht="31" customHeight="1">
      <x:c r="A26" s="66" t="str">
        <x:v>C12.1</x:v>
      </x:c>
      <x:c r="B26" s="67" t="str">
        <x:v>공동·관리</x:v>
      </x:c>
      <x:c r="C26" s="31" t="str">
        <x:v>AWS 권한·예산·API 연결 검토</x:v>
      </x:c>
      <x:c r="D26" s="31" t="str">
        <x:v>M5 유은혜(PM)</x:v>
      </x:c>
      <x:c r="E26" s="31" t="str">
        <x:v>M1 유용수 · M3 홍은서
M4 박진혁</x:v>
      </x:c>
      <x:c r="F26" s="41" t="n">
        <x:v>46316</x:v>
      </x:c>
      <x:c r="G26" s="41" t="n">
        <x:v>46318</x:v>
      </x:c>
      <x:c r="H26" s="42" t="str">
        <x:v>미확인</x:v>
      </x:c>
      <x:c r="I26" s="31" t="str">
        <x:v>C6.1</x:v>
      </x:c>
      <x:c r="J26" s="65" t="str">
        <x:f>HYPERLINK($AW26,"#12 +1")</x:f>
        <x:v>#12 +1</x:v>
      </x:c>
      <x:c r="K26" s="34" t="str">
        <x:f>IF(AND(ISNUMBER($G26),K$9=$G26),"◆","")</x:f>
        <x:v/>
      </x:c>
      <x:c r="L26" s="74" t="str">
        <x:f>IF(AND(ISNUMBER($G26),L$9=$G26),"◆","")</x:f>
        <x:v/>
      </x:c>
      <x:c r="M26" s="34" t="str">
        <x:f>IF(AND(ISNUMBER($G26),M$9=$G26),"◆","")</x:f>
        <x:v/>
      </x:c>
      <x:c r="N26" s="34" t="str">
        <x:f>IF(AND(ISNUMBER($G26),N$9=$G26),"◆","")</x:f>
        <x:v>◆</x:v>
      </x:c>
      <x:c r="O26" s="76" t="str">
        <x:f>IF(AND(ISNUMBER($G26),O$9=$G26),"◆","")</x:f>
        <x:v/>
      </x:c>
      <x:c r="P26" s="76" t="str">
        <x:f>IF(AND(ISNUMBER($G26),P$9=$G26),"◆","")</x:f>
        <x:v/>
      </x:c>
      <x:c r="Q26" s="83" t="str">
        <x:f>IF(AND(ISNUMBER($G26),Q$9=$G26),"◆","")</x:f>
        <x:v/>
      </x:c>
      <x:c r="R26" s="34" t="str">
        <x:f>IF(AND(ISNUMBER($G26),R$9=$G26),"◆","")</x:f>
        <x:v/>
      </x:c>
      <x:c r="S26" s="34" t="str">
        <x:f>IF(AND(ISNUMBER($G26),S$9=$G26),"◆","")</x:f>
        <x:v/>
      </x:c>
      <x:c r="T26" s="34" t="str">
        <x:f>IF(AND(ISNUMBER($G26),T$9=$G26),"◆","")</x:f>
        <x:v/>
      </x:c>
      <x:c r="U26" s="34" t="str">
        <x:f>IF(AND(ISNUMBER($G26),U$9=$G26),"◆","")</x:f>
        <x:v/>
      </x:c>
      <x:c r="V26" s="76" t="str">
        <x:f>IF(AND(ISNUMBER($G26),V$9=$G26),"◆","")</x:f>
        <x:v/>
      </x:c>
      <x:c r="W26" s="86" t="str">
        <x:f>IF(AND(ISNUMBER($G26),W$9=$G26),"◆","")</x:f>
        <x:v/>
      </x:c>
      <x:c r="X26" s="83" t="str">
        <x:f>IF(AND(ISNUMBER($G26),X$9=$G26),"◆","")</x:f>
        <x:v/>
      </x:c>
      <x:c r="Y26" s="34" t="str">
        <x:f>IF(AND(ISNUMBER($G26),Y$9=$G26),"◆","")</x:f>
        <x:v/>
      </x:c>
      <x:c r="Z26" s="34" t="str">
        <x:f>IF(AND(ISNUMBER($G26),Z$9=$G26),"◆","")</x:f>
        <x:v/>
      </x:c>
      <x:c r="AA26" s="34" t="str">
        <x:f>IF(AND(ISNUMBER($G26),AA$9=$G26),"◆","")</x:f>
        <x:v/>
      </x:c>
      <x:c r="AB26" s="34" t="str">
        <x:f>IF(AND(ISNUMBER($G26),AB$9=$G26),"◆","")</x:f>
        <x:v/>
      </x:c>
      <x:c r="AC26" s="76" t="str">
        <x:f>IF(AND(ISNUMBER($G26),AC$9=$G26),"◆","")</x:f>
        <x:v/>
      </x:c>
      <x:c r="AD26" s="76" t="str">
        <x:f>IF(AND(ISNUMBER($G26),AD$9=$G26),"◆","")</x:f>
        <x:v/>
      </x:c>
      <x:c r="AE26" s="83" t="str">
        <x:f>IF(AND(ISNUMBER($G26),AE$9=$G26),"◆","")</x:f>
        <x:v/>
      </x:c>
      <x:c r="AF26" s="34" t="str">
        <x:f>IF(AND(ISNUMBER($G26),AF$9=$G26),"◆","")</x:f>
        <x:v/>
      </x:c>
      <x:c r="AG26" s="34" t="str">
        <x:f>IF(AND(ISNUMBER($G26),AG$9=$G26),"◆","")</x:f>
        <x:v/>
      </x:c>
      <x:c r="AH26" s="34" t="str">
        <x:f>IF(AND(ISNUMBER($G26),AH$9=$G26),"◆","")</x:f>
        <x:v/>
      </x:c>
      <x:c r="AI26" s="34" t="str">
        <x:f>IF(AND(ISNUMBER($G26),AI$9=$G26),"◆","")</x:f>
        <x:v/>
      </x:c>
      <x:c r="AJ26" s="76" t="str">
        <x:f>IF(AND(ISNUMBER($G26),AJ$9=$G26),"◆","")</x:f>
        <x:v/>
      </x:c>
      <x:c r="AK26" s="76" t="str">
        <x:f>IF(AND(ISNUMBER($G26),AK$9=$G26),"◆","")</x:f>
        <x:v/>
      </x:c>
      <x:c r="AL26" s="83" t="str">
        <x:f>IF(AND(ISNUMBER($G26),AL$9=$G26),"◆","")</x:f>
        <x:v/>
      </x:c>
      <x:c r="AM26" s="4" t="str">
        <x:v>02 인프라 구축·통신 검증</x:v>
      </x:c>
      <x:c r="AN26" s="49"/>
      <x:c r="AO26" s="49"/>
      <x:c r="AP26" s="4" t="str">
        <x:v>AWS 계정·리전·권한·예산·한국 HTTPS API 경로를 10/23까지 검토. 계획서 제출 상태와 별개.</x:v>
      </x:c>
      <x:c r="AQ26" s="4" t="str">
        <x:v>#12 OPEN 0/19; #6 OPEN 0/4</x:v>
      </x:c>
      <x:c r="AR26" s="4" t="n">
        <x:f>IF(OR(ISNUMBER(SEARCH(AR$9,$D26)),ISNUMBER(SEARCH(AR$9,$E26))),1*100000000+IF(ISNUMBER($F26),$F26,99999)*1000+ROW(),1000000000)</x:f>
        <x:v>146316026.0</x:v>
      </x:c>
      <x:c r="AS26" s="4" t="n">
        <x:f>IF(OR(ISNUMBER(SEARCH(AS$9,$D26)),ISNUMBER(SEARCH(AS$9,$E26))),2*100000000+IF(ISNUMBER($F26),$F26,99999)*1000+ROW(),1000000000)</x:f>
        <x:v>1000000000.0</x:v>
      </x:c>
      <x:c r="AT26" s="4" t="n">
        <x:f>IF(OR(ISNUMBER(SEARCH(AT$9,$D26)),ISNUMBER(SEARCH(AT$9,$E26))),3*100000000+IF(ISNUMBER($F26),$F26,99999)*1000+ROW(),1000000000)</x:f>
        <x:v>346316026.0</x:v>
      </x:c>
      <x:c r="AU26" s="4" t="n">
        <x:f>IF(OR(ISNUMBER(SEARCH(AU$9,$D26)),ISNUMBER(SEARCH(AU$9,$E26))),4*100000000+IF(ISNUMBER($F26),$F26,99999)*1000+ROW(),1000000000)</x:f>
        <x:v>446316026.0</x:v>
      </x:c>
      <x:c r="AV26" s="4" t="n">
        <x:f>IF(OR(ISNUMBER(SEARCH(AV$9,$D26)),ISNUMBER(SEARCH(AV$9,$E26))),5*100000000+IF(ISNUMBER($F26),$F26,99999)*1000+ROW(),1000000000)</x:f>
        <x:v>546316026.0</x:v>
      </x:c>
      <x:c r="AW26" s="4" t="str">
        <x:v>https://github.com/team-blocks-lab/otter-shield/issues/12</x:v>
      </x:c>
      <x:c r="AX26" s="4" t="str">
        <x:v>#12; #6</x:v>
      </x:c>
      <x:c r="AY26" s="106" t="str">
        <x:v>C6.1의 AWS 관련 확인값부터 병행. 계정·권한·예산·한국 API 공개 경로 검토; 실제 생성 전 확인.</x:v>
      </x:c>
    </x:row>
    <x:row r="27" ht="31" customHeight="1">
      <x:c r="A27" s="66" t="str">
        <x:v>C12.2</x:v>
      </x:c>
      <x:c r="B27" s="67" t="str">
        <x:v>인프라</x:v>
      </x:c>
      <x:c r="C27" s="31" t="str">
        <x:v>AWS 환경 구축·재구축 절차 작성</x:v>
      </x:c>
      <x:c r="D27" s="31" t="str">
        <x:v>M5 유은혜(PM)</x:v>
      </x:c>
      <x:c r="E27" s="31" t="str">
        <x:v>M1 유용수 · M3 홍은서</x:v>
      </x:c>
      <x:c r="F27" s="41" t="n">
        <x:v>46321</x:v>
      </x:c>
      <x:c r="G27" s="41" t="n">
        <x:v>46325</x:v>
      </x:c>
      <x:c r="H27" s="42" t="str">
        <x:v>미확인</x:v>
      </x:c>
      <x:c r="I27" s="31" t="str">
        <x:v>C12.1</x:v>
      </x:c>
      <x:c r="J27" s="65" t="str">
        <x:f>HYPERLINK($AW27,"#12")</x:f>
        <x:v>#12</x:v>
      </x:c>
      <x:c r="K27" s="34" t="str">
        <x:f>IF(AND(ISNUMBER($G27),K$9=$G27),"◆","")</x:f>
        <x:v/>
      </x:c>
      <x:c r="L27" s="74" t="str">
        <x:f>IF(AND(ISNUMBER($G27),L$9=$G27),"◆","")</x:f>
        <x:v/>
      </x:c>
      <x:c r="M27" s="34" t="str">
        <x:f>IF(AND(ISNUMBER($G27),M$9=$G27),"◆","")</x:f>
        <x:v/>
      </x:c>
      <x:c r="N27" s="34" t="str">
        <x:f>IF(AND(ISNUMBER($G27),N$9=$G27),"◆","")</x:f>
        <x:v/>
      </x:c>
      <x:c r="O27" s="76" t="str">
        <x:f>IF(AND(ISNUMBER($G27),O$9=$G27),"◆","")</x:f>
        <x:v/>
      </x:c>
      <x:c r="P27" s="76" t="str">
        <x:f>IF(AND(ISNUMBER($G27),P$9=$G27),"◆","")</x:f>
        <x:v/>
      </x:c>
      <x:c r="Q27" s="83" t="str">
        <x:f>IF(AND(ISNUMBER($G27),Q$9=$G27),"◆","")</x:f>
        <x:v/>
      </x:c>
      <x:c r="R27" s="34" t="str">
        <x:f>IF(AND(ISNUMBER($G27),R$9=$G27),"◆","")</x:f>
        <x:v/>
      </x:c>
      <x:c r="S27" s="34" t="str">
        <x:f>IF(AND(ISNUMBER($G27),S$9=$G27),"◆","")</x:f>
        <x:v/>
      </x:c>
      <x:c r="T27" s="34" t="str">
        <x:f>IF(AND(ISNUMBER($G27),T$9=$G27),"◆","")</x:f>
        <x:v/>
      </x:c>
      <x:c r="U27" s="34" t="str">
        <x:f>IF(AND(ISNUMBER($G27),U$9=$G27),"◆","")</x:f>
        <x:v>◆</x:v>
      </x:c>
      <x:c r="V27" s="76" t="str">
        <x:f>IF(AND(ISNUMBER($G27),V$9=$G27),"◆","")</x:f>
        <x:v/>
      </x:c>
      <x:c r="W27" s="86" t="str">
        <x:f>IF(AND(ISNUMBER($G27),W$9=$G27),"◆","")</x:f>
        <x:v/>
      </x:c>
      <x:c r="X27" s="83" t="str">
        <x:f>IF(AND(ISNUMBER($G27),X$9=$G27),"◆","")</x:f>
        <x:v/>
      </x:c>
      <x:c r="Y27" s="34" t="str">
        <x:f>IF(AND(ISNUMBER($G27),Y$9=$G27),"◆","")</x:f>
        <x:v/>
      </x:c>
      <x:c r="Z27" s="34" t="str">
        <x:f>IF(AND(ISNUMBER($G27),Z$9=$G27),"◆","")</x:f>
        <x:v/>
      </x:c>
      <x:c r="AA27" s="34" t="str">
        <x:f>IF(AND(ISNUMBER($G27),AA$9=$G27),"◆","")</x:f>
        <x:v/>
      </x:c>
      <x:c r="AB27" s="34" t="str">
        <x:f>IF(AND(ISNUMBER($G27),AB$9=$G27),"◆","")</x:f>
        <x:v/>
      </x:c>
      <x:c r="AC27" s="76" t="str">
        <x:f>IF(AND(ISNUMBER($G27),AC$9=$G27),"◆","")</x:f>
        <x:v/>
      </x:c>
      <x:c r="AD27" s="76" t="str">
        <x:f>IF(AND(ISNUMBER($G27),AD$9=$G27),"◆","")</x:f>
        <x:v/>
      </x:c>
      <x:c r="AE27" s="83" t="str">
        <x:f>IF(AND(ISNUMBER($G27),AE$9=$G27),"◆","")</x:f>
        <x:v/>
      </x:c>
      <x:c r="AF27" s="34" t="str">
        <x:f>IF(AND(ISNUMBER($G27),AF$9=$G27),"◆","")</x:f>
        <x:v/>
      </x:c>
      <x:c r="AG27" s="34" t="str">
        <x:f>IF(AND(ISNUMBER($G27),AG$9=$G27),"◆","")</x:f>
        <x:v/>
      </x:c>
      <x:c r="AH27" s="34" t="str">
        <x:f>IF(AND(ISNUMBER($G27),AH$9=$G27),"◆","")</x:f>
        <x:v/>
      </x:c>
      <x:c r="AI27" s="34" t="str">
        <x:f>IF(AND(ISNUMBER($G27),AI$9=$G27),"◆","")</x:f>
        <x:v/>
      </x:c>
      <x:c r="AJ27" s="76" t="str">
        <x:f>IF(AND(ISNUMBER($G27),AJ$9=$G27),"◆","")</x:f>
        <x:v/>
      </x:c>
      <x:c r="AK27" s="76" t="str">
        <x:f>IF(AND(ISNUMBER($G27),AK$9=$G27),"◆","")</x:f>
        <x:v/>
      </x:c>
      <x:c r="AL27" s="83" t="str">
        <x:f>IF(AND(ISNUMBER($G27),AL$9=$G27),"◆","")</x:f>
        <x:v/>
      </x:c>
      <x:c r="AM27" s="4" t="str">
        <x:v>02 인프라 구축·통신 검증</x:v>
      </x:c>
      <x:c r="AN27" s="49"/>
      <x:c r="AO27" s="49"/>
      <x:c r="AP27" s="4" t="str">
        <x:v>네트워크·EKS·ALB/RDS·공개 웹/API·재생성 준비. Store 앱 구현은 D5.1, 초기 연동은 D5.2. 매 실습 종료 보존·정리 포함.</x:v>
      </x:c>
      <x:c r="AQ27" s="4" t="str">
        <x:v>#12 OPEN 0/19</x:v>
      </x:c>
      <x:c r="AR27" s="4" t="n">
        <x:f>IF(OR(ISNUMBER(SEARCH(AR$9,$D27)),ISNUMBER(SEARCH(AR$9,$E27))),1*100000000+IF(ISNUMBER($F27),$F27,99999)*1000+ROW(),1000000000)</x:f>
        <x:v>146321027.0</x:v>
      </x:c>
      <x:c r="AS27" s="4" t="n">
        <x:f>IF(OR(ISNUMBER(SEARCH(AS$9,$D27)),ISNUMBER(SEARCH(AS$9,$E27))),2*100000000+IF(ISNUMBER($F27),$F27,99999)*1000+ROW(),1000000000)</x:f>
        <x:v>1000000000.0</x:v>
      </x:c>
      <x:c r="AT27" s="4" t="n">
        <x:f>IF(OR(ISNUMBER(SEARCH(AT$9,$D27)),ISNUMBER(SEARCH(AT$9,$E27))),3*100000000+IF(ISNUMBER($F27),$F27,99999)*1000+ROW(),1000000000)</x:f>
        <x:v>346321027.0</x:v>
      </x:c>
      <x:c r="AU27" s="4" t="n">
        <x:f>IF(OR(ISNUMBER(SEARCH(AU$9,$D27)),ISNUMBER(SEARCH(AU$9,$E27))),4*100000000+IF(ISNUMBER($F27),$F27,99999)*1000+ROW(),1000000000)</x:f>
        <x:v>1000000000.0</x:v>
      </x:c>
      <x:c r="AV27" s="4" t="n">
        <x:f>IF(OR(ISNUMBER(SEARCH(AV$9,$D27)),ISNUMBER(SEARCH(AV$9,$E27))),5*100000000+IF(ISNUMBER($F27),$F27,99999)*1000+ROW(),1000000000)</x:f>
        <x:v>546321027.0</x:v>
      </x:c>
      <x:c r="AW27" s="4" t="str">
        <x:v>https://github.com/team-blocks-lab/otter-shield/issues/12</x:v>
      </x:c>
      <x:c r="AX27" s="4" t="str">
        <x:v>#12</x:v>
      </x:c>
      <x:c r="AY27" s="106" t="str">
        <x:v>완료 후</x:v>
      </x:c>
    </x:row>
    <x:row r="28" ht="39" customHeight="1">
      <x:c r="A28" s="66" t="str">
        <x:v>C6.2</x:v>
      </x:c>
      <x:c r="B28" s="67" t="str">
        <x:v>공동·관리</x:v>
      </x:c>
      <x:c r="C28" s="31" t="str">
        <x:v>집중 업무 공수·배포 인계 점검</x:v>
      </x:c>
      <x:c r="D28" s="31" t="str">
        <x:v>M5 유은혜(PM)</x:v>
      </x:c>
      <x:c r="E28" s="31" t="str">
        <x:v>M3 홍은서 · M4 박진혁</x:v>
      </x:c>
      <x:c r="F28" s="41" t="n">
        <x:v>46323</x:v>
      </x:c>
      <x:c r="G28" s="41" t="n">
        <x:v>46325</x:v>
      </x:c>
      <x:c r="H28" s="42" t="str">
        <x:v>미확인</x:v>
      </x:c>
      <x:c r="I28" s="31" t="str">
        <x:v>D1, I24, C12.2</x:v>
      </x:c>
      <x:c r="J28" s="65" t="str">
        <x:f>HYPERLINK($AW28,"#6 +1")</x:f>
        <x:v>#6 +1</x:v>
      </x:c>
      <x:c r="K28" s="34" t="str">
        <x:f>""</x:f>
        <x:v/>
      </x:c>
      <x:c r="L28" s="74" t="str">
        <x:f>""</x:f>
        <x:v/>
      </x:c>
      <x:c r="M28" s="34" t="str">
        <x:f>""</x:f>
        <x:v/>
      </x:c>
      <x:c r="N28" s="34" t="str">
        <x:f>""</x:f>
        <x:v/>
      </x:c>
      <x:c r="O28" s="76" t="str">
        <x:f>""</x:f>
        <x:v/>
      </x:c>
      <x:c r="P28" s="76" t="str">
        <x:f>""</x:f>
        <x:v/>
      </x:c>
      <x:c r="Q28" s="83" t="str">
        <x:f>""</x:f>
        <x:v/>
      </x:c>
      <x:c r="R28" s="34" t="str">
        <x:f>""</x:f>
        <x:v/>
      </x:c>
      <x:c r="S28" s="34" t="str">
        <x:f>""</x:f>
        <x:v/>
      </x:c>
      <x:c r="T28" s="34" t="str">
        <x:f>""</x:f>
        <x:v/>
      </x:c>
      <x:c r="U28" s="34" t="str">
        <x:f>""</x:f>
        <x:v/>
      </x:c>
      <x:c r="V28" s="76" t="str">
        <x:f>""</x:f>
        <x:v/>
      </x:c>
      <x:c r="W28" s="86" t="str">
        <x:f>""</x:f>
        <x:v/>
      </x:c>
      <x:c r="X28" s="83" t="str">
        <x:f>""</x:f>
        <x:v/>
      </x:c>
      <x:c r="Y28" s="34" t="str">
        <x:f>""</x:f>
        <x:v/>
      </x:c>
      <x:c r="Z28" s="34" t="str">
        <x:f>""</x:f>
        <x:v/>
      </x:c>
      <x:c r="AA28" s="34" t="str">
        <x:f>""</x:f>
        <x:v/>
      </x:c>
      <x:c r="AB28" s="34" t="str">
        <x:f>""</x:f>
        <x:v/>
      </x:c>
      <x:c r="AC28" s="76" t="str">
        <x:f>""</x:f>
        <x:v/>
      </x:c>
      <x:c r="AD28" s="76" t="str">
        <x:f>""</x:f>
        <x:v/>
      </x:c>
      <x:c r="AE28" s="83" t="str">
        <x:f>""</x:f>
        <x:v/>
      </x:c>
      <x:c r="AF28" s="34" t="str">
        <x:f>""</x:f>
        <x:v/>
      </x:c>
      <x:c r="AG28" s="34" t="str">
        <x:f>""</x:f>
        <x:v/>
      </x:c>
      <x:c r="AH28" s="34" t="str">
        <x:f>""</x:f>
        <x:v/>
      </x:c>
      <x:c r="AI28" s="34" t="str">
        <x:f>""</x:f>
        <x:v/>
      </x:c>
      <x:c r="AJ28" s="76" t="str">
        <x:f>""</x:f>
        <x:v/>
      </x:c>
      <x:c r="AK28" s="76" t="str">
        <x:f>""</x:f>
        <x:v/>
      </x:c>
      <x:c r="AL28" s="83" t="str">
        <x:f>""</x:f>
        <x:v/>
      </x:c>
      <x:c r="AM28" s="4" t="str">
        <x:v>02 인프라 구축·통신 검증</x:v>
      </x:c>
      <x:c r="AN28" s="49" t="n">
        <x:v>46323</x:v>
      </x:c>
      <x:c r="AO28" s="49" t="n">
        <x:v>46325</x:v>
      </x:c>
      <x:c r="AP28" s="4" t="str">
        <x:v>C6.1에서 10/23 1차 공수 확인. 설치·설정·테스트 예상시간을 기록하고 미달은 당일 #6에서 조정안 제시; 임의 완료·기한 변경 금지.</x:v>
      </x:c>
      <x:c r="AQ28" s="4" t="str">
        <x:v>#6 OPEN 0/4; #8 OPEN 0/13</x:v>
      </x:c>
      <x:c r="AR28" s="4" t="n">
        <x:f>IF(OR(ISNUMBER(SEARCH(AR$9,$D28)),ISNUMBER(SEARCH(AR$9,$E28))),1*100000000+IF(ISNUMBER($F28),$F28,99999)*1000+ROW(),1000000000)</x:f>
        <x:v>1000000000.0</x:v>
      </x:c>
      <x:c r="AS28" s="4" t="n">
        <x:f>IF(OR(ISNUMBER(SEARCH(AS$9,$D28)),ISNUMBER(SEARCH(AS$9,$E28))),2*100000000+IF(ISNUMBER($F28),$F28,99999)*1000+ROW(),1000000000)</x:f>
        <x:v>1000000000.0</x:v>
      </x:c>
      <x:c r="AT28" s="4" t="n">
        <x:f>IF(OR(ISNUMBER(SEARCH(AT$9,$D28)),ISNUMBER(SEARCH(AT$9,$E28))),3*100000000+IF(ISNUMBER($F28),$F28,99999)*1000+ROW(),1000000000)</x:f>
        <x:v>346323028.0</x:v>
      </x:c>
      <x:c r="AU28" s="4" t="n">
        <x:f>IF(OR(ISNUMBER(SEARCH(AU$9,$D28)),ISNUMBER(SEARCH(AU$9,$E28))),4*100000000+IF(ISNUMBER($F28),$F28,99999)*1000+ROW(),1000000000)</x:f>
        <x:v>446323028.0</x:v>
      </x:c>
      <x:c r="AV28" s="4" t="n">
        <x:f>IF(OR(ISNUMBER(SEARCH(AV$9,$D28)),ISNUMBER(SEARCH(AV$9,$E28))),5*100000000+IF(ISNUMBER($F28),$F28,99999)*1000+ROW(),1000000000)</x:f>
        <x:v>546323028.0</x:v>
      </x:c>
      <x:c r="AW28" s="4" t="str">
        <x:v>https://github.com/team-blocks-lab/otter-shield/issues/6</x:v>
      </x:c>
      <x:c r="AX28" s="4" t="str">
        <x:v>#6; #8</x:v>
      </x:c>
      <x:c r="AY28" s="106" t="str">
        <x:v>10/28 D3·CI 준비 확인, 10/30 Store·AWS·배포/DB 인계 점검. 남은 예상시간과 담당 가용시간 대조.</x:v>
      </x:c>
    </x:row>
    <x:row r="29" ht="24" customHeight="1">
      <x:c r="A29" s="56"/>
      <x:c r="B29" s="56"/>
      <x:c r="C29" s="56" t="str">
        <x:v>병행 개발·배포</x:v>
      </x:c>
      <x:c r="D29" s="56"/>
      <x:c r="E29" s="56"/>
      <x:c r="F29" s="57"/>
      <x:c r="G29" s="57"/>
      <x:c r="H29" s="58"/>
      <x:c r="I29" s="56"/>
      <x:c r="J29" s="56"/>
      <x:c r="K29" s="58"/>
      <x:c r="L29" s="73"/>
      <x:c r="M29" s="58"/>
      <x:c r="N29" s="58"/>
      <x:c r="O29" s="58"/>
      <x:c r="P29" s="58"/>
      <x:c r="Q29" s="82"/>
      <x:c r="R29" s="58"/>
      <x:c r="S29" s="58"/>
      <x:c r="T29" s="58"/>
      <x:c r="U29" s="58"/>
      <x:c r="V29" s="58"/>
      <x:c r="W29" s="82"/>
      <x:c r="X29" s="82"/>
      <x:c r="Y29" s="58"/>
      <x:c r="Z29" s="58"/>
      <x:c r="AA29" s="58"/>
      <x:c r="AB29" s="58"/>
      <x:c r="AC29" s="58"/>
      <x:c r="AD29" s="58"/>
      <x:c r="AE29" s="82"/>
      <x:c r="AF29" s="58"/>
      <x:c r="AG29" s="58"/>
      <x:c r="AH29" s="58"/>
      <x:c r="AI29" s="58"/>
      <x:c r="AJ29" s="58"/>
      <x:c r="AK29" s="58"/>
      <x:c r="AL29" s="82"/>
      <x:c r="AM29" s="4"/>
      <x:c r="AN29" s="49"/>
      <x:c r="AO29" s="49"/>
      <x:c r="AP29" s="4"/>
      <x:c r="AQ29" s="4"/>
      <x:c r="AR29" s="4" t="n">
        <x:v>1000000000</x:v>
      </x:c>
      <x:c r="AS29" s="4" t="n">
        <x:v>1000000000</x:v>
      </x:c>
      <x:c r="AT29" s="4" t="n">
        <x:v>1000000000</x:v>
      </x:c>
      <x:c r="AU29" s="4" t="n">
        <x:v>1000000000</x:v>
      </x:c>
      <x:c r="AV29" s="4" t="n">
        <x:v>1000000000</x:v>
      </x:c>
      <x:c r="AW29" s="4"/>
      <x:c r="AX29" s="4"/>
      <x:c r="AY29" s="106"/>
    </x:row>
    <x:row r="30" ht="31" customHeight="1">
      <x:c r="A30" s="66" t="str">
        <x:v>D1</x:v>
      </x:c>
      <x:c r="B30" s="67" t="str">
        <x:v>개발</x:v>
      </x:c>
      <x:c r="C30" s="31" t="str">
        <x:v>실행 환경 정의·ERD·클래스 설계</x:v>
      </x:c>
      <x:c r="D30" s="31" t="str">
        <x:v>M5 유은혜(PM)</x:v>
      </x:c>
      <x:c r="E30" s="31" t="str">
        <x:v>M1 유용수 · M2 윤서영
M3 홍은서</x:v>
      </x:c>
      <x:c r="F30" s="41" t="n">
        <x:v>46316</x:v>
      </x:c>
      <x:c r="G30" s="41" t="n">
        <x:v>46318</x:v>
      </x:c>
      <x:c r="H30" s="42" t="str">
        <x:v>미확인</x:v>
      </x:c>
      <x:c r="I30" s="31" t="str">
        <x:v>—</x:v>
      </x:c>
      <x:c r="J30" s="65" t="str">
        <x:f>HYPERLINK($AW30,"#8")</x:f>
        <x:v>#8</x:v>
      </x:c>
      <x:c r="K30" s="34" t="str">
        <x:f>IF(AND(ISNUMBER($G30),K$9=$G30),"◆","")</x:f>
        <x:v/>
      </x:c>
      <x:c r="L30" s="74" t="str">
        <x:f>IF(AND(ISNUMBER($G30),L$9=$G30),"◆","")</x:f>
        <x:v/>
      </x:c>
      <x:c r="M30" s="34" t="str">
        <x:f>IF(AND(ISNUMBER($G30),M$9=$G30),"◆","")</x:f>
        <x:v/>
      </x:c>
      <x:c r="N30" s="34" t="str">
        <x:f>IF(AND(ISNUMBER($G30),N$9=$G30),"◆","")</x:f>
        <x:v>◆</x:v>
      </x:c>
      <x:c r="O30" s="76" t="str">
        <x:f>IF(AND(ISNUMBER($G30),O$9=$G30),"◆","")</x:f>
        <x:v/>
      </x:c>
      <x:c r="P30" s="76" t="str">
        <x:f>IF(AND(ISNUMBER($G30),P$9=$G30),"◆","")</x:f>
        <x:v/>
      </x:c>
      <x:c r="Q30" s="83" t="str">
        <x:f>IF(AND(ISNUMBER($G30),Q$9=$G30),"◆","")</x:f>
        <x:v/>
      </x:c>
      <x:c r="R30" s="34" t="str">
        <x:f>IF(AND(ISNUMBER($G30),R$9=$G30),"◆","")</x:f>
        <x:v/>
      </x:c>
      <x:c r="S30" s="34" t="str">
        <x:f>IF(AND(ISNUMBER($G30),S$9=$G30),"◆","")</x:f>
        <x:v/>
      </x:c>
      <x:c r="T30" s="34" t="str">
        <x:f>IF(AND(ISNUMBER($G30),T$9=$G30),"◆","")</x:f>
        <x:v/>
      </x:c>
      <x:c r="U30" s="34" t="str">
        <x:f>IF(AND(ISNUMBER($G30),U$9=$G30),"◆","")</x:f>
        <x:v/>
      </x:c>
      <x:c r="V30" s="76" t="str">
        <x:f>IF(AND(ISNUMBER($G30),V$9=$G30),"◆","")</x:f>
        <x:v/>
      </x:c>
      <x:c r="W30" s="86" t="str">
        <x:f>IF(AND(ISNUMBER($G30),W$9=$G30),"◆","")</x:f>
        <x:v/>
      </x:c>
      <x:c r="X30" s="83" t="str">
        <x:f>IF(AND(ISNUMBER($G30),X$9=$G30),"◆","")</x:f>
        <x:v/>
      </x:c>
      <x:c r="Y30" s="34" t="str">
        <x:f>IF(AND(ISNUMBER($G30),Y$9=$G30),"◆","")</x:f>
        <x:v/>
      </x:c>
      <x:c r="Z30" s="34" t="str">
        <x:f>IF(AND(ISNUMBER($G30),Z$9=$G30),"◆","")</x:f>
        <x:v/>
      </x:c>
      <x:c r="AA30" s="34" t="str">
        <x:f>IF(AND(ISNUMBER($G30),AA$9=$G30),"◆","")</x:f>
        <x:v/>
      </x:c>
      <x:c r="AB30" s="34" t="str">
        <x:f>IF(AND(ISNUMBER($G30),AB$9=$G30),"◆","")</x:f>
        <x:v/>
      </x:c>
      <x:c r="AC30" s="76" t="str">
        <x:f>IF(AND(ISNUMBER($G30),AC$9=$G30),"◆","")</x:f>
        <x:v/>
      </x:c>
      <x:c r="AD30" s="76" t="str">
        <x:f>IF(AND(ISNUMBER($G30),AD$9=$G30),"◆","")</x:f>
        <x:v/>
      </x:c>
      <x:c r="AE30" s="83" t="str">
        <x:f>IF(AND(ISNUMBER($G30),AE$9=$G30),"◆","")</x:f>
        <x:v/>
      </x:c>
      <x:c r="AF30" s="34" t="str">
        <x:f>IF(AND(ISNUMBER($G30),AF$9=$G30),"◆","")</x:f>
        <x:v/>
      </x:c>
      <x:c r="AG30" s="34" t="str">
        <x:f>IF(AND(ISNUMBER($G30),AG$9=$G30),"◆","")</x:f>
        <x:v/>
      </x:c>
      <x:c r="AH30" s="34" t="str">
        <x:f>IF(AND(ISNUMBER($G30),AH$9=$G30),"◆","")</x:f>
        <x:v/>
      </x:c>
      <x:c r="AI30" s="34" t="str">
        <x:f>IF(AND(ISNUMBER($G30),AI$9=$G30),"◆","")</x:f>
        <x:v/>
      </x:c>
      <x:c r="AJ30" s="76" t="str">
        <x:f>IF(AND(ISNUMBER($G30),AJ$9=$G30),"◆","")</x:f>
        <x:v/>
      </x:c>
      <x:c r="AK30" s="76" t="str">
        <x:f>IF(AND(ISNUMBER($G30),AK$9=$G30),"◆","")</x:f>
        <x:v/>
      </x:c>
      <x:c r="AL30" s="83" t="str">
        <x:f>IF(AND(ISNUMBER($G30),AL$9=$G30),"◆","")</x:f>
        <x:v/>
      </x:c>
      <x:c r="AM30" s="4" t="str">
        <x:v>08 병행 개발·배포</x:v>
      </x:c>
      <x:c r="AN30" s="49"/>
      <x:c r="AO30" s="49"/>
      <x:c r="AP30" s="4" t="str">
        <x:v>10/22 초안·10/23 검토. AI 공급자·비용·인증 사전 시험, 10/23 게시판 실행방식 합의.</x:v>
      </x:c>
      <x:c r="AQ30" s="4" t="str">
        <x:v>#8 OPEN 0/13</x:v>
      </x:c>
      <x:c r="AR30" s="4" t="n">
        <x:f>IF(OR(ISNUMBER(SEARCH(AR$9,$D30)),ISNUMBER(SEARCH(AR$9,$E30))),1*100000000+IF(ISNUMBER($F30),$F30,99999)*1000+ROW(),1000000000)</x:f>
        <x:v>146316030.0</x:v>
      </x:c>
      <x:c r="AS30" s="4" t="n">
        <x:f>IF(OR(ISNUMBER(SEARCH(AS$9,$D30)),ISNUMBER(SEARCH(AS$9,$E30))),2*100000000+IF(ISNUMBER($F30),$F30,99999)*1000+ROW(),1000000000)</x:f>
        <x:v>246316030.0</x:v>
      </x:c>
      <x:c r="AT30" s="4" t="n">
        <x:f>IF(OR(ISNUMBER(SEARCH(AT$9,$D30)),ISNUMBER(SEARCH(AT$9,$E30))),3*100000000+IF(ISNUMBER($F30),$F30,99999)*1000+ROW(),1000000000)</x:f>
        <x:v>346316030.0</x:v>
      </x:c>
      <x:c r="AU30" s="4" t="n">
        <x:f>IF(OR(ISNUMBER(SEARCH(AU$9,$D30)),ISNUMBER(SEARCH(AU$9,$E30))),4*100000000+IF(ISNUMBER($F30),$F30,99999)*1000+ROW(),1000000000)</x:f>
        <x:v>1000000000.0</x:v>
      </x:c>
      <x:c r="AV30" s="4" t="n">
        <x:f>IF(OR(ISNUMBER(SEARCH(AV$9,$D30)),ISNUMBER(SEARCH(AV$9,$E30))),5*100000000+IF(ISNUMBER($F30),$F30,99999)*1000+ROW(),1000000000)</x:f>
        <x:v>546316030.0</x:v>
      </x:c>
      <x:c r="AW30" s="4" t="str">
        <x:v>https://github.com/team-blocks-lab/otter-shield/issues/8</x:v>
      </x:c>
      <x:c r="AX30" s="4" t="str">
        <x:v>#8</x:v>
      </x:c>
      <x:c r="AY30" s="106" t="str">
        <x:v>10/22 초안·10/23 검토. 게시판 API/DB·환경변수·실행 명령은 확정 구간부터 M1/M2에 인계.</x:v>
      </x:c>
    </x:row>
    <x:row r="31" ht="39" customHeight="1">
      <x:c r="A31" s="66" t="str">
        <x:v>D2</x:v>
      </x:c>
      <x:c r="B31" s="67" t="str">
        <x:v>개발</x:v>
      </x:c>
      <x:c r="C31" s="31" t="str">
        <x:v>한국·독일 공통 게시판 개발</x:v>
      </x:c>
      <x:c r="D31" s="31" t="str">
        <x:v>M5 유은혜(PM)</x:v>
      </x:c>
      <x:c r="E31" s="31" t="str">
        <x:v>M1 유용수 · M2 윤서영</x:v>
      </x:c>
      <x:c r="F31" s="41" t="n">
        <x:v>46317</x:v>
      </x:c>
      <x:c r="G31" s="41" t="n">
        <x:v>46318</x:v>
      </x:c>
      <x:c r="H31" s="42" t="str">
        <x:v>미확인</x:v>
      </x:c>
      <x:c r="I31" s="31" t="str">
        <x:v>D1</x:v>
      </x:c>
      <x:c r="J31" s="65" t="str">
        <x:f>HYPERLINK($AW31,"#8")</x:f>
        <x:v>#8</x:v>
      </x:c>
      <x:c r="K31" s="34" t="str">
        <x:f>IF(AND(ISNUMBER($G31),K$9=$G31),"◆","")</x:f>
        <x:v/>
      </x:c>
      <x:c r="L31" s="74" t="str">
        <x:f>IF(AND(ISNUMBER($G31),L$9=$G31),"◆","")</x:f>
        <x:v/>
      </x:c>
      <x:c r="M31" s="34" t="str">
        <x:f>IF(AND(ISNUMBER($G31),M$9=$G31),"◆","")</x:f>
        <x:v/>
      </x:c>
      <x:c r="N31" s="34" t="str">
        <x:f>IF(AND(ISNUMBER($G31),N$9=$G31),"◆","")</x:f>
        <x:v>◆</x:v>
      </x:c>
      <x:c r="O31" s="76" t="str">
        <x:f>IF(AND(ISNUMBER($G31),O$9=$G31),"◆","")</x:f>
        <x:v/>
      </x:c>
      <x:c r="P31" s="76" t="str">
        <x:f>IF(AND(ISNUMBER($G31),P$9=$G31),"◆","")</x:f>
        <x:v/>
      </x:c>
      <x:c r="Q31" s="83" t="str">
        <x:f>IF(AND(ISNUMBER($G31),Q$9=$G31),"◆","")</x:f>
        <x:v/>
      </x:c>
      <x:c r="R31" s="34" t="str">
        <x:f>IF(AND(ISNUMBER($G31),R$9=$G31),"◆","")</x:f>
        <x:v/>
      </x:c>
      <x:c r="S31" s="34" t="str">
        <x:f>IF(AND(ISNUMBER($G31),S$9=$G31),"◆","")</x:f>
        <x:v/>
      </x:c>
      <x:c r="T31" s="34" t="str">
        <x:f>IF(AND(ISNUMBER($G31),T$9=$G31),"◆","")</x:f>
        <x:v/>
      </x:c>
      <x:c r="U31" s="34" t="str">
        <x:f>IF(AND(ISNUMBER($G31),U$9=$G31),"◆","")</x:f>
        <x:v/>
      </x:c>
      <x:c r="V31" s="76" t="str">
        <x:f>IF(AND(ISNUMBER($G31),V$9=$G31),"◆","")</x:f>
        <x:v/>
      </x:c>
      <x:c r="W31" s="86" t="str">
        <x:f>IF(AND(ISNUMBER($G31),W$9=$G31),"◆","")</x:f>
        <x:v/>
      </x:c>
      <x:c r="X31" s="83" t="str">
        <x:f>IF(AND(ISNUMBER($G31),X$9=$G31),"◆","")</x:f>
        <x:v/>
      </x:c>
      <x:c r="Y31" s="34" t="str">
        <x:f>IF(AND(ISNUMBER($G31),Y$9=$G31),"◆","")</x:f>
        <x:v/>
      </x:c>
      <x:c r="Z31" s="34" t="str">
        <x:f>IF(AND(ISNUMBER($G31),Z$9=$G31),"◆","")</x:f>
        <x:v/>
      </x:c>
      <x:c r="AA31" s="34" t="str">
        <x:f>IF(AND(ISNUMBER($G31),AA$9=$G31),"◆","")</x:f>
        <x:v/>
      </x:c>
      <x:c r="AB31" s="34" t="str">
        <x:f>IF(AND(ISNUMBER($G31),AB$9=$G31),"◆","")</x:f>
        <x:v/>
      </x:c>
      <x:c r="AC31" s="76" t="str">
        <x:f>IF(AND(ISNUMBER($G31),AC$9=$G31),"◆","")</x:f>
        <x:v/>
      </x:c>
      <x:c r="AD31" s="76" t="str">
        <x:f>IF(AND(ISNUMBER($G31),AD$9=$G31),"◆","")</x:f>
        <x:v/>
      </x:c>
      <x:c r="AE31" s="83" t="str">
        <x:f>IF(AND(ISNUMBER($G31),AE$9=$G31),"◆","")</x:f>
        <x:v/>
      </x:c>
      <x:c r="AF31" s="34" t="str">
        <x:f>IF(AND(ISNUMBER($G31),AF$9=$G31),"◆","")</x:f>
        <x:v/>
      </x:c>
      <x:c r="AG31" s="34" t="str">
        <x:f>IF(AND(ISNUMBER($G31),AG$9=$G31),"◆","")</x:f>
        <x:v/>
      </x:c>
      <x:c r="AH31" s="34" t="str">
        <x:f>IF(AND(ISNUMBER($G31),AH$9=$G31),"◆","")</x:f>
        <x:v/>
      </x:c>
      <x:c r="AI31" s="34" t="str">
        <x:f>IF(AND(ISNUMBER($G31),AI$9=$G31),"◆","")</x:f>
        <x:v/>
      </x:c>
      <x:c r="AJ31" s="76" t="str">
        <x:f>IF(AND(ISNUMBER($G31),AJ$9=$G31),"◆","")</x:f>
        <x:v/>
      </x:c>
      <x:c r="AK31" s="76" t="str">
        <x:f>IF(AND(ISNUMBER($G31),AK$9=$G31),"◆","")</x:f>
        <x:v/>
      </x:c>
      <x:c r="AL31" s="83" t="str">
        <x:f>IF(AND(ISNUMBER($G31),AL$9=$G31),"◆","")</x:f>
        <x:v/>
      </x:c>
      <x:c r="AM31" s="4" t="str">
        <x:v>08 병행 개발·배포</x:v>
      </x:c>
      <x:c r="AN31" s="49"/>
      <x:c r="AO31" s="49"/>
      <x:c r="AP31" s="4" t="str">
        <x:v>공통 코드, DB·계정·설정 분리. 실행 규격 확인 구간부터 병행.</x:v>
      </x:c>
      <x:c r="AQ31" s="4" t="str">
        <x:v>#8 OPEN 0/13</x:v>
      </x:c>
      <x:c r="AR31" s="4" t="n">
        <x:f>IF(OR(ISNUMBER(SEARCH(AR$9,$D31)),ISNUMBER(SEARCH(AR$9,$E31))),1*100000000+IF(ISNUMBER($F31),$F31,99999)*1000+ROW(),1000000000)</x:f>
        <x:v>146317031.0</x:v>
      </x:c>
      <x:c r="AS31" s="4" t="n">
        <x:f>IF(OR(ISNUMBER(SEARCH(AS$9,$D31)),ISNUMBER(SEARCH(AS$9,$E31))),2*100000000+IF(ISNUMBER($F31),$F31,99999)*1000+ROW(),1000000000)</x:f>
        <x:v>246317031.0</x:v>
      </x:c>
      <x:c r="AT31" s="4" t="n">
        <x:f>IF(OR(ISNUMBER(SEARCH(AT$9,$D31)),ISNUMBER(SEARCH(AT$9,$E31))),3*100000000+IF(ISNUMBER($F31),$F31,99999)*1000+ROW(),1000000000)</x:f>
        <x:v>1000000000.0</x:v>
      </x:c>
      <x:c r="AU31" s="4" t="n">
        <x:f>IF(OR(ISNUMBER(SEARCH(AU$9,$D31)),ISNUMBER(SEARCH(AU$9,$E31))),4*100000000+IF(ISNUMBER($F31),$F31,99999)*1000+ROW(),1000000000)</x:f>
        <x:v>1000000000.0</x:v>
      </x:c>
      <x:c r="AV31" s="4" t="n">
        <x:f>IF(OR(ISNUMBER(SEARCH(AV$9,$D31)),ISNUMBER(SEARCH(AV$9,$E31))),5*100000000+IF(ISNUMBER($F31),$F31,99999)*1000+ROW(),1000000000)</x:f>
        <x:v>546317031.0</x:v>
      </x:c>
      <x:c r="AW31" s="4" t="str">
        <x:v>https://github.com/team-blocks-lab/otter-shield/issues/8</x:v>
      </x:c>
      <x:c r="AX31" s="4" t="str">
        <x:v>#8</x:v>
      </x:c>
      <x:c r="AY31" s="106" t="str">
        <x:v>D1의 게시판 API·DB·실행 조건 확인 후 병행. 전체 설계 종료를 기다리는 관계 아님.</x:v>
      </x:c>
    </x:row>
    <x:row r="32" ht="31" customHeight="1">
      <x:c r="A32" s="66" t="str">
        <x:v>D3</x:v>
      </x:c>
      <x:c r="B32" s="67" t="str">
        <x:v>개발</x:v>
      </x:c>
      <x:c r="C32" s="31" t="str">
        <x:v>OTT 로그인·목록·영상 재생 개발</x:v>
      </x:c>
      <x:c r="D32" s="31" t="str">
        <x:v>M5 유은혜(PM)</x:v>
      </x:c>
      <x:c r="E32" s="31" t="str">
        <x:v>M3 홍은서</x:v>
      </x:c>
      <x:c r="F32" s="41" t="n">
        <x:v>46319</x:v>
      </x:c>
      <x:c r="G32" s="41" t="n">
        <x:v>46323</x:v>
      </x:c>
      <x:c r="H32" s="42" t="str">
        <x:v>미확인</x:v>
      </x:c>
      <x:c r="I32" s="31" t="str">
        <x:v>D1</x:v>
      </x:c>
      <x:c r="J32" s="65" t="str">
        <x:f>HYPERLINK($AW32,"#8")</x:f>
        <x:v>#8</x:v>
      </x:c>
      <x:c r="K32" s="34" t="str">
        <x:f>IF(AND(ISNUMBER($G32),K$9=$G32),"◆","")</x:f>
        <x:v/>
      </x:c>
      <x:c r="L32" s="74" t="str">
        <x:f>IF(AND(ISNUMBER($G32),L$9=$G32),"◆","")</x:f>
        <x:v/>
      </x:c>
      <x:c r="M32" s="34" t="str">
        <x:f>IF(AND(ISNUMBER($G32),M$9=$G32),"◆","")</x:f>
        <x:v/>
      </x:c>
      <x:c r="N32" s="34" t="str">
        <x:f>IF(AND(ISNUMBER($G32),N$9=$G32),"◆","")</x:f>
        <x:v/>
      </x:c>
      <x:c r="O32" s="76" t="str">
        <x:f>IF(AND(ISNUMBER($G32),O$9=$G32),"◆","")</x:f>
        <x:v/>
      </x:c>
      <x:c r="P32" s="76" t="str">
        <x:f>IF(AND(ISNUMBER($G32),P$9=$G32),"◆","")</x:f>
        <x:v/>
      </x:c>
      <x:c r="Q32" s="83" t="str">
        <x:f>IF(AND(ISNUMBER($G32),Q$9=$G32),"◆","")</x:f>
        <x:v/>
      </x:c>
      <x:c r="R32" s="34" t="str">
        <x:f>IF(AND(ISNUMBER($G32),R$9=$G32),"◆","")</x:f>
        <x:v/>
      </x:c>
      <x:c r="S32" s="34" t="str">
        <x:f>IF(AND(ISNUMBER($G32),S$9=$G32),"◆","")</x:f>
        <x:v>◆</x:v>
      </x:c>
      <x:c r="T32" s="34" t="str">
        <x:f>IF(AND(ISNUMBER($G32),T$9=$G32),"◆","")</x:f>
        <x:v/>
      </x:c>
      <x:c r="U32" s="34" t="str">
        <x:f>IF(AND(ISNUMBER($G32),U$9=$G32),"◆","")</x:f>
        <x:v/>
      </x:c>
      <x:c r="V32" s="76" t="str">
        <x:f>IF(AND(ISNUMBER($G32),V$9=$G32),"◆","")</x:f>
        <x:v/>
      </x:c>
      <x:c r="W32" s="86" t="str">
        <x:f>IF(AND(ISNUMBER($G32),W$9=$G32),"◆","")</x:f>
        <x:v/>
      </x:c>
      <x:c r="X32" s="83" t="str">
        <x:f>IF(AND(ISNUMBER($G32),X$9=$G32),"◆","")</x:f>
        <x:v/>
      </x:c>
      <x:c r="Y32" s="34" t="str">
        <x:f>IF(AND(ISNUMBER($G32),Y$9=$G32),"◆","")</x:f>
        <x:v/>
      </x:c>
      <x:c r="Z32" s="34" t="str">
        <x:f>IF(AND(ISNUMBER($G32),Z$9=$G32),"◆","")</x:f>
        <x:v/>
      </x:c>
      <x:c r="AA32" s="34" t="str">
        <x:f>IF(AND(ISNUMBER($G32),AA$9=$G32),"◆","")</x:f>
        <x:v/>
      </x:c>
      <x:c r="AB32" s="34" t="str">
        <x:f>IF(AND(ISNUMBER($G32),AB$9=$G32),"◆","")</x:f>
        <x:v/>
      </x:c>
      <x:c r="AC32" s="76" t="str">
        <x:f>IF(AND(ISNUMBER($G32),AC$9=$G32),"◆","")</x:f>
        <x:v/>
      </x:c>
      <x:c r="AD32" s="76" t="str">
        <x:f>IF(AND(ISNUMBER($G32),AD$9=$G32),"◆","")</x:f>
        <x:v/>
      </x:c>
      <x:c r="AE32" s="83" t="str">
        <x:f>IF(AND(ISNUMBER($G32),AE$9=$G32),"◆","")</x:f>
        <x:v/>
      </x:c>
      <x:c r="AF32" s="34" t="str">
        <x:f>IF(AND(ISNUMBER($G32),AF$9=$G32),"◆","")</x:f>
        <x:v/>
      </x:c>
      <x:c r="AG32" s="34" t="str">
        <x:f>IF(AND(ISNUMBER($G32),AG$9=$G32),"◆","")</x:f>
        <x:v/>
      </x:c>
      <x:c r="AH32" s="34" t="str">
        <x:f>IF(AND(ISNUMBER($G32),AH$9=$G32),"◆","")</x:f>
        <x:v/>
      </x:c>
      <x:c r="AI32" s="34" t="str">
        <x:f>IF(AND(ISNUMBER($G32),AI$9=$G32),"◆","")</x:f>
        <x:v/>
      </x:c>
      <x:c r="AJ32" s="76" t="str">
        <x:f>IF(AND(ISNUMBER($G32),AJ$9=$G32),"◆","")</x:f>
        <x:v/>
      </x:c>
      <x:c r="AK32" s="76" t="str">
        <x:f>IF(AND(ISNUMBER($G32),AK$9=$G32),"◆","")</x:f>
        <x:v/>
      </x:c>
      <x:c r="AL32" s="83" t="str">
        <x:f>IF(AND(ISNUMBER($G32),AL$9=$G32),"◆","")</x:f>
        <x:v/>
      </x:c>
      <x:c r="AM32" s="4" t="str">
        <x:v>08 병행 개발·배포</x:v>
      </x:c>
      <x:c r="AN32" s="49" t="n">
        <x:v>46319</x:v>
      </x:c>
      <x:c r="AO32" s="49" t="n">
        <x:v>46321</x:v>
      </x:c>
      <x:c r="AP32" s="4" t="str">
        <x:v>10/24 및 10/26–28. 10/25는 원문 미지정이므로 칠하지 않음.</x:v>
      </x:c>
      <x:c r="AQ32" s="4" t="str">
        <x:v>#8 OPEN 0/13</x:v>
      </x:c>
      <x:c r="AR32" s="4" t="n">
        <x:f>IF(OR(ISNUMBER(SEARCH(AR$9,$D32)),ISNUMBER(SEARCH(AR$9,$E32))),1*100000000+IF(ISNUMBER($F32),$F32,99999)*1000+ROW(),1000000000)</x:f>
        <x:v>1000000000.0</x:v>
      </x:c>
      <x:c r="AS32" s="4" t="n">
        <x:f>IF(OR(ISNUMBER(SEARCH(AS$9,$D32)),ISNUMBER(SEARCH(AS$9,$E32))),2*100000000+IF(ISNUMBER($F32),$F32,99999)*1000+ROW(),1000000000)</x:f>
        <x:v>1000000000.0</x:v>
      </x:c>
      <x:c r="AT32" s="4" t="n">
        <x:f>IF(OR(ISNUMBER(SEARCH(AT$9,$D32)),ISNUMBER(SEARCH(AT$9,$E32))),3*100000000+IF(ISNUMBER($F32),$F32,99999)*1000+ROW(),1000000000)</x:f>
        <x:v>346319032.0</x:v>
      </x:c>
      <x:c r="AU32" s="4" t="n">
        <x:f>IF(OR(ISNUMBER(SEARCH(AU$9,$D32)),ISNUMBER(SEARCH(AU$9,$E32))),4*100000000+IF(ISNUMBER($F32),$F32,99999)*1000+ROW(),1000000000)</x:f>
        <x:v>1000000000.0</x:v>
      </x:c>
      <x:c r="AV32" s="4" t="n">
        <x:f>IF(OR(ISNUMBER(SEARCH(AV$9,$D32)),ISNUMBER(SEARCH(AV$9,$E32))),5*100000000+IF(ISNUMBER($F32),$F32,99999)*1000+ROW(),1000000000)</x:f>
        <x:v>546319032.0</x:v>
      </x:c>
      <x:c r="AW32" s="4" t="str">
        <x:v>https://github.com/team-blocks-lab/otter-shield/issues/8</x:v>
      </x:c>
      <x:c r="AX32" s="4" t="str">
        <x:v>#8</x:v>
      </x:c>
      <x:c r="AY32" s="106" t="str">
        <x:v>로그인·권한·목록·샘플 재생 및 로컬 DB 확인</x:v>
      </x:c>
    </x:row>
    <x:row r="33" ht="31" customHeight="1">
      <x:c r="A33" s="66" t="str">
        <x:v>D4.1</x:v>
      </x:c>
      <x:c r="B33" s="67" t="str">
        <x:v>개발</x:v>
      </x:c>
      <x:c r="C33" s="31" t="str">
        <x:v>한국 게시판 서버 배포</x:v>
      </x:c>
      <x:c r="D33" s="31" t="str">
        <x:v>M1 유용수</x:v>
      </x:c>
      <x:c r="E33" s="31" t="str">
        <x:v>M5 유은혜</x:v>
      </x:c>
      <x:c r="F33" s="41" t="n">
        <x:v>46324</x:v>
      </x:c>
      <x:c r="G33" s="41" t="n">
        <x:v>46325</x:v>
      </x:c>
      <x:c r="H33" s="42" t="str">
        <x:v>미확인</x:v>
      </x:c>
      <x:c r="I33" s="31" t="str">
        <x:v>D2, I14, C7</x:v>
      </x:c>
      <x:c r="J33" s="65" t="str">
        <x:f>HYPERLINK($AW33,"#8 +1")</x:f>
        <x:v>#8 +1</x:v>
      </x:c>
      <x:c r="K33" s="34" t="str">
        <x:f>IF(AND(ISNUMBER($G33),K$9=$G33),"◆","")</x:f>
        <x:v/>
      </x:c>
      <x:c r="L33" s="74" t="str">
        <x:f>IF(AND(ISNUMBER($G33),L$9=$G33),"◆","")</x:f>
        <x:v/>
      </x:c>
      <x:c r="M33" s="34" t="str">
        <x:f>IF(AND(ISNUMBER($G33),M$9=$G33),"◆","")</x:f>
        <x:v/>
      </x:c>
      <x:c r="N33" s="34" t="str">
        <x:f>IF(AND(ISNUMBER($G33),N$9=$G33),"◆","")</x:f>
        <x:v/>
      </x:c>
      <x:c r="O33" s="76" t="str">
        <x:f>IF(AND(ISNUMBER($G33),O$9=$G33),"◆","")</x:f>
        <x:v/>
      </x:c>
      <x:c r="P33" s="76" t="str">
        <x:f>IF(AND(ISNUMBER($G33),P$9=$G33),"◆","")</x:f>
        <x:v/>
      </x:c>
      <x:c r="Q33" s="83" t="str">
        <x:f>IF(AND(ISNUMBER($G33),Q$9=$G33),"◆","")</x:f>
        <x:v/>
      </x:c>
      <x:c r="R33" s="34" t="str">
        <x:f>IF(AND(ISNUMBER($G33),R$9=$G33),"◆","")</x:f>
        <x:v/>
      </x:c>
      <x:c r="S33" s="34" t="str">
        <x:f>IF(AND(ISNUMBER($G33),S$9=$G33),"◆","")</x:f>
        <x:v/>
      </x:c>
      <x:c r="T33" s="34" t="str">
        <x:f>IF(AND(ISNUMBER($G33),T$9=$G33),"◆","")</x:f>
        <x:v/>
      </x:c>
      <x:c r="U33" s="34" t="str">
        <x:f>IF(AND(ISNUMBER($G33),U$9=$G33),"◆","")</x:f>
        <x:v>◆</x:v>
      </x:c>
      <x:c r="V33" s="76" t="str">
        <x:f>IF(AND(ISNUMBER($G33),V$9=$G33),"◆","")</x:f>
        <x:v/>
      </x:c>
      <x:c r="W33" s="86" t="str">
        <x:f>IF(AND(ISNUMBER($G33),W$9=$G33),"◆","")</x:f>
        <x:v/>
      </x:c>
      <x:c r="X33" s="83" t="str">
        <x:f>IF(AND(ISNUMBER($G33),X$9=$G33),"◆","")</x:f>
        <x:v/>
      </x:c>
      <x:c r="Y33" s="34" t="str">
        <x:f>IF(AND(ISNUMBER($G33),Y$9=$G33),"◆","")</x:f>
        <x:v/>
      </x:c>
      <x:c r="Z33" s="34" t="str">
        <x:f>IF(AND(ISNUMBER($G33),Z$9=$G33),"◆","")</x:f>
        <x:v/>
      </x:c>
      <x:c r="AA33" s="34" t="str">
        <x:f>IF(AND(ISNUMBER($G33),AA$9=$G33),"◆","")</x:f>
        <x:v/>
      </x:c>
      <x:c r="AB33" s="34" t="str">
        <x:f>IF(AND(ISNUMBER($G33),AB$9=$G33),"◆","")</x:f>
        <x:v/>
      </x:c>
      <x:c r="AC33" s="76" t="str">
        <x:f>IF(AND(ISNUMBER($G33),AC$9=$G33),"◆","")</x:f>
        <x:v/>
      </x:c>
      <x:c r="AD33" s="76" t="str">
        <x:f>IF(AND(ISNUMBER($G33),AD$9=$G33),"◆","")</x:f>
        <x:v/>
      </x:c>
      <x:c r="AE33" s="83" t="str">
        <x:f>IF(AND(ISNUMBER($G33),AE$9=$G33),"◆","")</x:f>
        <x:v/>
      </x:c>
      <x:c r="AF33" s="34" t="str">
        <x:f>IF(AND(ISNUMBER($G33),AF$9=$G33),"◆","")</x:f>
        <x:v/>
      </x:c>
      <x:c r="AG33" s="34" t="str">
        <x:f>IF(AND(ISNUMBER($G33),AG$9=$G33),"◆","")</x:f>
        <x:v/>
      </x:c>
      <x:c r="AH33" s="34" t="str">
        <x:f>IF(AND(ISNUMBER($G33),AH$9=$G33),"◆","")</x:f>
        <x:v/>
      </x:c>
      <x:c r="AI33" s="34" t="str">
        <x:f>IF(AND(ISNUMBER($G33),AI$9=$G33),"◆","")</x:f>
        <x:v/>
      </x:c>
      <x:c r="AJ33" s="76" t="str">
        <x:f>IF(AND(ISNUMBER($G33),AJ$9=$G33),"◆","")</x:f>
        <x:v/>
      </x:c>
      <x:c r="AK33" s="76" t="str">
        <x:f>IF(AND(ISNUMBER($G33),AK$9=$G33),"◆","")</x:f>
        <x:v/>
      </x:c>
      <x:c r="AL33" s="83" t="str">
        <x:f>IF(AND(ISNUMBER($G33),AL$9=$G33),"◆","")</x:f>
        <x:v/>
      </x:c>
      <x:c r="AM33" s="4" t="str">
        <x:v>08 병행 개발·배포</x:v>
      </x:c>
      <x:c r="AN33" s="49"/>
      <x:c r="AO33" s="49"/>
      <x:c r="AP33" s="4" t="str">
        <x:v>M5 코드·스키마·설정·실행 규격 인계, 서버 담당 정상 요청 확인.</x:v>
      </x:c>
      <x:c r="AQ33" s="4" t="str">
        <x:v>#8 OPEN 0/13; #14 OPEN 0/8</x:v>
      </x:c>
      <x:c r="AR33" s="4" t="n">
        <x:f>IF(OR(ISNUMBER(SEARCH(AR$9,$D33)),ISNUMBER(SEARCH(AR$9,$E33))),1*100000000+IF(ISNUMBER($F33),$F33,99999)*1000+ROW(),1000000000)</x:f>
        <x:v>146324033.0</x:v>
      </x:c>
      <x:c r="AS33" s="4" t="n">
        <x:f>IF(OR(ISNUMBER(SEARCH(AS$9,$D33)),ISNUMBER(SEARCH(AS$9,$E33))),2*100000000+IF(ISNUMBER($F33),$F33,99999)*1000+ROW(),1000000000)</x:f>
        <x:v>1000000000.0</x:v>
      </x:c>
      <x:c r="AT33" s="4" t="n">
        <x:f>IF(OR(ISNUMBER(SEARCH(AT$9,$D33)),ISNUMBER(SEARCH(AT$9,$E33))),3*100000000+IF(ISNUMBER($F33),$F33,99999)*1000+ROW(),1000000000)</x:f>
        <x:v>1000000000.0</x:v>
      </x:c>
      <x:c r="AU33" s="4" t="n">
        <x:f>IF(OR(ISNUMBER(SEARCH(AU$9,$D33)),ISNUMBER(SEARCH(AU$9,$E33))),4*100000000+IF(ISNUMBER($F33),$F33,99999)*1000+ROW(),1000000000)</x:f>
        <x:v>1000000000.0</x:v>
      </x:c>
      <x:c r="AV33" s="4" t="n">
        <x:f>IF(OR(ISNUMBER(SEARCH(AV$9,$D33)),ISNUMBER(SEARCH(AV$9,$E33))),5*100000000+IF(ISNUMBER($F33),$F33,99999)*1000+ROW(),1000000000)</x:f>
        <x:v>546324033.0</x:v>
      </x:c>
      <x:c r="AW33" s="4" t="str">
        <x:v>https://github.com/team-blocks-lab/otter-shield/issues/8</x:v>
      </x:c>
      <x:c r="AX33" s="4" t="str">
        <x:v>#8; #14</x:v>
      </x:c>
      <x:c r="AY33" s="106" t="str">
        <x:v>M5 코드·DB 규격 인계 후 한국 게시판 정상 요청</x:v>
      </x:c>
    </x:row>
    <x:row r="34" ht="31" customHeight="1">
      <x:c r="A34" s="66" t="str">
        <x:v>D4.2</x:v>
      </x:c>
      <x:c r="B34" s="67" t="str">
        <x:v>개발</x:v>
      </x:c>
      <x:c r="C34" s="31" t="str">
        <x:v>독일 게시판 서버 배포</x:v>
      </x:c>
      <x:c r="D34" s="31" t="str">
        <x:v>M2 윤서영</x:v>
      </x:c>
      <x:c r="E34" s="31" t="str">
        <x:v>M5 유은혜</x:v>
      </x:c>
      <x:c r="F34" s="41" t="n">
        <x:v>46324</x:v>
      </x:c>
      <x:c r="G34" s="41" t="n">
        <x:v>46325</x:v>
      </x:c>
      <x:c r="H34" s="42" t="str">
        <x:v>미확인</x:v>
      </x:c>
      <x:c r="I34" s="31" t="str">
        <x:v>D2, I19, C7</x:v>
      </x:c>
      <x:c r="J34" s="65" t="str">
        <x:f>HYPERLINK($AW34,"#8 +1")</x:f>
        <x:v>#8 +1</x:v>
      </x:c>
      <x:c r="K34" s="34" t="str">
        <x:f>IF(AND(ISNUMBER($G34),K$9=$G34),"◆","")</x:f>
        <x:v/>
      </x:c>
      <x:c r="L34" s="74" t="str">
        <x:f>IF(AND(ISNUMBER($G34),L$9=$G34),"◆","")</x:f>
        <x:v/>
      </x:c>
      <x:c r="M34" s="34" t="str">
        <x:f>IF(AND(ISNUMBER($G34),M$9=$G34),"◆","")</x:f>
        <x:v/>
      </x:c>
      <x:c r="N34" s="34" t="str">
        <x:f>IF(AND(ISNUMBER($G34),N$9=$G34),"◆","")</x:f>
        <x:v/>
      </x:c>
      <x:c r="O34" s="76" t="str">
        <x:f>IF(AND(ISNUMBER($G34),O$9=$G34),"◆","")</x:f>
        <x:v/>
      </x:c>
      <x:c r="P34" s="76" t="str">
        <x:f>IF(AND(ISNUMBER($G34),P$9=$G34),"◆","")</x:f>
        <x:v/>
      </x:c>
      <x:c r="Q34" s="83" t="str">
        <x:f>IF(AND(ISNUMBER($G34),Q$9=$G34),"◆","")</x:f>
        <x:v/>
      </x:c>
      <x:c r="R34" s="34" t="str">
        <x:f>IF(AND(ISNUMBER($G34),R$9=$G34),"◆","")</x:f>
        <x:v/>
      </x:c>
      <x:c r="S34" s="34" t="str">
        <x:f>IF(AND(ISNUMBER($G34),S$9=$G34),"◆","")</x:f>
        <x:v/>
      </x:c>
      <x:c r="T34" s="34" t="str">
        <x:f>IF(AND(ISNUMBER($G34),T$9=$G34),"◆","")</x:f>
        <x:v/>
      </x:c>
      <x:c r="U34" s="34" t="str">
        <x:f>IF(AND(ISNUMBER($G34),U$9=$G34),"◆","")</x:f>
        <x:v>◆</x:v>
      </x:c>
      <x:c r="V34" s="76" t="str">
        <x:f>IF(AND(ISNUMBER($G34),V$9=$G34),"◆","")</x:f>
        <x:v/>
      </x:c>
      <x:c r="W34" s="86" t="str">
        <x:f>IF(AND(ISNUMBER($G34),W$9=$G34),"◆","")</x:f>
        <x:v/>
      </x:c>
      <x:c r="X34" s="83" t="str">
        <x:f>IF(AND(ISNUMBER($G34),X$9=$G34),"◆","")</x:f>
        <x:v/>
      </x:c>
      <x:c r="Y34" s="34" t="str">
        <x:f>IF(AND(ISNUMBER($G34),Y$9=$G34),"◆","")</x:f>
        <x:v/>
      </x:c>
      <x:c r="Z34" s="34" t="str">
        <x:f>IF(AND(ISNUMBER($G34),Z$9=$G34),"◆","")</x:f>
        <x:v/>
      </x:c>
      <x:c r="AA34" s="34" t="str">
        <x:f>IF(AND(ISNUMBER($G34),AA$9=$G34),"◆","")</x:f>
        <x:v/>
      </x:c>
      <x:c r="AB34" s="34" t="str">
        <x:f>IF(AND(ISNUMBER($G34),AB$9=$G34),"◆","")</x:f>
        <x:v/>
      </x:c>
      <x:c r="AC34" s="76" t="str">
        <x:f>IF(AND(ISNUMBER($G34),AC$9=$G34),"◆","")</x:f>
        <x:v/>
      </x:c>
      <x:c r="AD34" s="76" t="str">
        <x:f>IF(AND(ISNUMBER($G34),AD$9=$G34),"◆","")</x:f>
        <x:v/>
      </x:c>
      <x:c r="AE34" s="83" t="str">
        <x:f>IF(AND(ISNUMBER($G34),AE$9=$G34),"◆","")</x:f>
        <x:v/>
      </x:c>
      <x:c r="AF34" s="34" t="str">
        <x:f>IF(AND(ISNUMBER($G34),AF$9=$G34),"◆","")</x:f>
        <x:v/>
      </x:c>
      <x:c r="AG34" s="34" t="str">
        <x:f>IF(AND(ISNUMBER($G34),AG$9=$G34),"◆","")</x:f>
        <x:v/>
      </x:c>
      <x:c r="AH34" s="34" t="str">
        <x:f>IF(AND(ISNUMBER($G34),AH$9=$G34),"◆","")</x:f>
        <x:v/>
      </x:c>
      <x:c r="AI34" s="34" t="str">
        <x:f>IF(AND(ISNUMBER($G34),AI$9=$G34),"◆","")</x:f>
        <x:v/>
      </x:c>
      <x:c r="AJ34" s="76" t="str">
        <x:f>IF(AND(ISNUMBER($G34),AJ$9=$G34),"◆","")</x:f>
        <x:v/>
      </x:c>
      <x:c r="AK34" s="76" t="str">
        <x:f>IF(AND(ISNUMBER($G34),AK$9=$G34),"◆","")</x:f>
        <x:v/>
      </x:c>
      <x:c r="AL34" s="83" t="str">
        <x:f>IF(AND(ISNUMBER($G34),AL$9=$G34),"◆","")</x:f>
        <x:v/>
      </x:c>
      <x:c r="AM34" s="4" t="str">
        <x:v>08 병행 개발·배포</x:v>
      </x:c>
      <x:c r="AN34" s="49"/>
      <x:c r="AO34" s="49"/>
      <x:c r="AP34" s="4" t="str">
        <x:v>M5 코드·스키마·설정·실행 규격 인계, 서버 담당 정상 요청 확인.</x:v>
      </x:c>
      <x:c r="AQ34" s="4" t="str">
        <x:v>#8 OPEN 0/13; #19 OPEN 0/8</x:v>
      </x:c>
      <x:c r="AR34" s="4" t="n">
        <x:f>IF(OR(ISNUMBER(SEARCH(AR$9,$D34)),ISNUMBER(SEARCH(AR$9,$E34))),1*100000000+IF(ISNUMBER($F34),$F34,99999)*1000+ROW(),1000000000)</x:f>
        <x:v>1000000000.0</x:v>
      </x:c>
      <x:c r="AS34" s="4" t="n">
        <x:f>IF(OR(ISNUMBER(SEARCH(AS$9,$D34)),ISNUMBER(SEARCH(AS$9,$E34))),2*100000000+IF(ISNUMBER($F34),$F34,99999)*1000+ROW(),1000000000)</x:f>
        <x:v>246324034.0</x:v>
      </x:c>
      <x:c r="AT34" s="4" t="n">
        <x:f>IF(OR(ISNUMBER(SEARCH(AT$9,$D34)),ISNUMBER(SEARCH(AT$9,$E34))),3*100000000+IF(ISNUMBER($F34),$F34,99999)*1000+ROW(),1000000000)</x:f>
        <x:v>1000000000.0</x:v>
      </x:c>
      <x:c r="AU34" s="4" t="n">
        <x:f>IF(OR(ISNUMBER(SEARCH(AU$9,$D34)),ISNUMBER(SEARCH(AU$9,$E34))),4*100000000+IF(ISNUMBER($F34),$F34,99999)*1000+ROW(),1000000000)</x:f>
        <x:v>1000000000.0</x:v>
      </x:c>
      <x:c r="AV34" s="4" t="n">
        <x:f>IF(OR(ISNUMBER(SEARCH(AV$9,$D34)),ISNUMBER(SEARCH(AV$9,$E34))),5*100000000+IF(ISNUMBER($F34),$F34,99999)*1000+ROW(),1000000000)</x:f>
        <x:v>546324034.0</x:v>
      </x:c>
      <x:c r="AW34" s="4" t="str">
        <x:v>https://github.com/team-blocks-lab/otter-shield/issues/8</x:v>
      </x:c>
      <x:c r="AX34" s="4" t="str">
        <x:v>#8; #19</x:v>
      </x:c>
      <x:c r="AY34" s="106" t="str">
        <x:v>공통 코드와 독일 DB·계정 분리 / 정상 요청</x:v>
      </x:c>
    </x:row>
    <x:row r="35" ht="31" customHeight="1">
      <x:c r="A35" s="66" t="str">
        <x:v>D4.3</x:v>
      </x:c>
      <x:c r="B35" s="67" t="str">
        <x:v>개발</x:v>
      </x:c>
      <x:c r="C35" s="31" t="str">
        <x:v>한국 OTT 서버 배포</x:v>
      </x:c>
      <x:c r="D35" s="31" t="str">
        <x:v>M3 홍은서(PL)</x:v>
      </x:c>
      <x:c r="E35" s="31" t="str">
        <x:v>M5 유은혜</x:v>
      </x:c>
      <x:c r="F35" s="41" t="n">
        <x:v>46324</x:v>
      </x:c>
      <x:c r="G35" s="41" t="n">
        <x:v>46325</x:v>
      </x:c>
      <x:c r="H35" s="42" t="str">
        <x:v>미확인</x:v>
      </x:c>
      <x:c r="I35" s="31" t="str">
        <x:v>D3, I24</x:v>
      </x:c>
      <x:c r="J35" s="65" t="str">
        <x:f>HYPERLINK($AW35,"#8 +1")</x:f>
        <x:v>#8 +1</x:v>
      </x:c>
      <x:c r="K35" s="34" t="str">
        <x:f>IF(AND(ISNUMBER($G35),K$9=$G35),"◆","")</x:f>
        <x:v/>
      </x:c>
      <x:c r="L35" s="74" t="str">
        <x:f>IF(AND(ISNUMBER($G35),L$9=$G35),"◆","")</x:f>
        <x:v/>
      </x:c>
      <x:c r="M35" s="34" t="str">
        <x:f>IF(AND(ISNUMBER($G35),M$9=$G35),"◆","")</x:f>
        <x:v/>
      </x:c>
      <x:c r="N35" s="34" t="str">
        <x:f>IF(AND(ISNUMBER($G35),N$9=$G35),"◆","")</x:f>
        <x:v/>
      </x:c>
      <x:c r="O35" s="76" t="str">
        <x:f>IF(AND(ISNUMBER($G35),O$9=$G35),"◆","")</x:f>
        <x:v/>
      </x:c>
      <x:c r="P35" s="76" t="str">
        <x:f>IF(AND(ISNUMBER($G35),P$9=$G35),"◆","")</x:f>
        <x:v/>
      </x:c>
      <x:c r="Q35" s="83" t="str">
        <x:f>IF(AND(ISNUMBER($G35),Q$9=$G35),"◆","")</x:f>
        <x:v/>
      </x:c>
      <x:c r="R35" s="34" t="str">
        <x:f>IF(AND(ISNUMBER($G35),R$9=$G35),"◆","")</x:f>
        <x:v/>
      </x:c>
      <x:c r="S35" s="34" t="str">
        <x:f>IF(AND(ISNUMBER($G35),S$9=$G35),"◆","")</x:f>
        <x:v/>
      </x:c>
      <x:c r="T35" s="34" t="str">
        <x:f>IF(AND(ISNUMBER($G35),T$9=$G35),"◆","")</x:f>
        <x:v/>
      </x:c>
      <x:c r="U35" s="34" t="str">
        <x:f>IF(AND(ISNUMBER($G35),U$9=$G35),"◆","")</x:f>
        <x:v>◆</x:v>
      </x:c>
      <x:c r="V35" s="76" t="str">
        <x:f>IF(AND(ISNUMBER($G35),V$9=$G35),"◆","")</x:f>
        <x:v/>
      </x:c>
      <x:c r="W35" s="86" t="str">
        <x:f>IF(AND(ISNUMBER($G35),W$9=$G35),"◆","")</x:f>
        <x:v/>
      </x:c>
      <x:c r="X35" s="83" t="str">
        <x:f>IF(AND(ISNUMBER($G35),X$9=$G35),"◆","")</x:f>
        <x:v/>
      </x:c>
      <x:c r="Y35" s="34" t="str">
        <x:f>IF(AND(ISNUMBER($G35),Y$9=$G35),"◆","")</x:f>
        <x:v/>
      </x:c>
      <x:c r="Z35" s="34" t="str">
        <x:f>IF(AND(ISNUMBER($G35),Z$9=$G35),"◆","")</x:f>
        <x:v/>
      </x:c>
      <x:c r="AA35" s="34" t="str">
        <x:f>IF(AND(ISNUMBER($G35),AA$9=$G35),"◆","")</x:f>
        <x:v/>
      </x:c>
      <x:c r="AB35" s="34" t="str">
        <x:f>IF(AND(ISNUMBER($G35),AB$9=$G35),"◆","")</x:f>
        <x:v/>
      </x:c>
      <x:c r="AC35" s="76" t="str">
        <x:f>IF(AND(ISNUMBER($G35),AC$9=$G35),"◆","")</x:f>
        <x:v/>
      </x:c>
      <x:c r="AD35" s="76" t="str">
        <x:f>IF(AND(ISNUMBER($G35),AD$9=$G35),"◆","")</x:f>
        <x:v/>
      </x:c>
      <x:c r="AE35" s="83" t="str">
        <x:f>IF(AND(ISNUMBER($G35),AE$9=$G35),"◆","")</x:f>
        <x:v/>
      </x:c>
      <x:c r="AF35" s="34" t="str">
        <x:f>IF(AND(ISNUMBER($G35),AF$9=$G35),"◆","")</x:f>
        <x:v/>
      </x:c>
      <x:c r="AG35" s="34" t="str">
        <x:f>IF(AND(ISNUMBER($G35),AG$9=$G35),"◆","")</x:f>
        <x:v/>
      </x:c>
      <x:c r="AH35" s="34" t="str">
        <x:f>IF(AND(ISNUMBER($G35),AH$9=$G35),"◆","")</x:f>
        <x:v/>
      </x:c>
      <x:c r="AI35" s="34" t="str">
        <x:f>IF(AND(ISNUMBER($G35),AI$9=$G35),"◆","")</x:f>
        <x:v/>
      </x:c>
      <x:c r="AJ35" s="76" t="str">
        <x:f>IF(AND(ISNUMBER($G35),AJ$9=$G35),"◆","")</x:f>
        <x:v/>
      </x:c>
      <x:c r="AK35" s="76" t="str">
        <x:f>IF(AND(ISNUMBER($G35),AK$9=$G35),"◆","")</x:f>
        <x:v/>
      </x:c>
      <x:c r="AL35" s="83" t="str">
        <x:f>IF(AND(ISNUMBER($G35),AL$9=$G35),"◆","")</x:f>
        <x:v/>
      </x:c>
      <x:c r="AM35" s="4" t="str">
        <x:v>08 병행 개발·배포</x:v>
      </x:c>
      <x:c r="AN35" s="49"/>
      <x:c r="AO35" s="49"/>
      <x:c r="AP35" s="4" t="str">
        <x:v>M5 코드·스키마·설정·실행 규격 인계, 서버 담당 정상 요청 확인.</x:v>
      </x:c>
      <x:c r="AQ35" s="4" t="str">
        <x:v>#8 OPEN 0/13; #24 OPEN 0/9</x:v>
      </x:c>
      <x:c r="AR35" s="4" t="n">
        <x:f>IF(OR(ISNUMBER(SEARCH(AR$9,$D35)),ISNUMBER(SEARCH(AR$9,$E35))),1*100000000+IF(ISNUMBER($F35),$F35,99999)*1000+ROW(),1000000000)</x:f>
        <x:v>1000000000.0</x:v>
      </x:c>
      <x:c r="AS35" s="4" t="n">
        <x:f>IF(OR(ISNUMBER(SEARCH(AS$9,$D35)),ISNUMBER(SEARCH(AS$9,$E35))),2*100000000+IF(ISNUMBER($F35),$F35,99999)*1000+ROW(),1000000000)</x:f>
        <x:v>1000000000.0</x:v>
      </x:c>
      <x:c r="AT35" s="4" t="n">
        <x:f>IF(OR(ISNUMBER(SEARCH(AT$9,$D35)),ISNUMBER(SEARCH(AT$9,$E35))),3*100000000+IF(ISNUMBER($F35),$F35,99999)*1000+ROW(),1000000000)</x:f>
        <x:v>346324035.0</x:v>
      </x:c>
      <x:c r="AU35" s="4" t="n">
        <x:f>IF(OR(ISNUMBER(SEARCH(AU$9,$D35)),ISNUMBER(SEARCH(AU$9,$E35))),4*100000000+IF(ISNUMBER($F35),$F35,99999)*1000+ROW(),1000000000)</x:f>
        <x:v>1000000000.0</x:v>
      </x:c>
      <x:c r="AV35" s="4" t="n">
        <x:f>IF(OR(ISNUMBER(SEARCH(AV$9,$D35)),ISNUMBER(SEARCH(AV$9,$E35))),5*100000000+IF(ISNUMBER($F35),$F35,99999)*1000+ROW(),1000000000)</x:f>
        <x:v>546324035.0</x:v>
      </x:c>
      <x:c r="AW35" s="4" t="str">
        <x:v>https://github.com/team-blocks-lab/otter-shield/issues/8</x:v>
      </x:c>
      <x:c r="AX35" s="4" t="str">
        <x:v>#8; #24</x:v>
      </x:c>
      <x:c r="AY35" s="106" t="str">
        <x:v>M5 코드 인계 후 Nginx→앱→DB 정상 요청</x:v>
      </x:c>
    </x:row>
    <x:row r="36" ht="31" customHeight="1">
      <x:c r="A36" s="66" t="str">
        <x:v>D5.1</x:v>
      </x:c>
      <x:c r="B36" s="67" t="str">
        <x:v>개발</x:v>
      </x:c>
      <x:c r="C36" s="31" t="str">
        <x:v>Store 상품·모의 주문 개발</x:v>
      </x:c>
      <x:c r="D36" s="31" t="str">
        <x:v>M5 유은혜(PM)</x:v>
      </x:c>
      <x:c r="E36" s="31" t="str">
        <x:v>—</x:v>
      </x:c>
      <x:c r="F36" s="41" t="n">
        <x:v>46324</x:v>
      </x:c>
      <x:c r="G36" s="41" t="n">
        <x:v>46325</x:v>
      </x:c>
      <x:c r="H36" s="42" t="str">
        <x:v>미확인</x:v>
      </x:c>
      <x:c r="I36" s="31" t="str">
        <x:v>D1</x:v>
      </x:c>
      <x:c r="J36" s="65" t="str">
        <x:f>HYPERLINK($AW36,"#8 +1")</x:f>
        <x:v>#8 +1</x:v>
      </x:c>
      <x:c r="K36" s="34" t="str">
        <x:f>IF(AND(ISNUMBER($G36),K$9=$G36),"◆","")</x:f>
        <x:v/>
      </x:c>
      <x:c r="L36" s="74" t="str">
        <x:f>IF(AND(ISNUMBER($G36),L$9=$G36),"◆","")</x:f>
        <x:v/>
      </x:c>
      <x:c r="M36" s="34" t="str">
        <x:f>IF(AND(ISNUMBER($G36),M$9=$G36),"◆","")</x:f>
        <x:v/>
      </x:c>
      <x:c r="N36" s="34" t="str">
        <x:f>IF(AND(ISNUMBER($G36),N$9=$G36),"◆","")</x:f>
        <x:v/>
      </x:c>
      <x:c r="O36" s="76" t="str">
        <x:f>IF(AND(ISNUMBER($G36),O$9=$G36),"◆","")</x:f>
        <x:v/>
      </x:c>
      <x:c r="P36" s="76" t="str">
        <x:f>IF(AND(ISNUMBER($G36),P$9=$G36),"◆","")</x:f>
        <x:v/>
      </x:c>
      <x:c r="Q36" s="83" t="str">
        <x:f>IF(AND(ISNUMBER($G36),Q$9=$G36),"◆","")</x:f>
        <x:v/>
      </x:c>
      <x:c r="R36" s="34" t="str">
        <x:f>IF(AND(ISNUMBER($G36),R$9=$G36),"◆","")</x:f>
        <x:v/>
      </x:c>
      <x:c r="S36" s="34" t="str">
        <x:f>IF(AND(ISNUMBER($G36),S$9=$G36),"◆","")</x:f>
        <x:v/>
      </x:c>
      <x:c r="T36" s="34" t="str">
        <x:f>IF(AND(ISNUMBER($G36),T$9=$G36),"◆","")</x:f>
        <x:v/>
      </x:c>
      <x:c r="U36" s="34" t="str">
        <x:f>IF(AND(ISNUMBER($G36),U$9=$G36),"◆","")</x:f>
        <x:v>◆</x:v>
      </x:c>
      <x:c r="V36" s="76" t="str">
        <x:f>IF(AND(ISNUMBER($G36),V$9=$G36),"◆","")</x:f>
        <x:v/>
      </x:c>
      <x:c r="W36" s="86" t="str">
        <x:f>IF(AND(ISNUMBER($G36),W$9=$G36),"◆","")</x:f>
        <x:v/>
      </x:c>
      <x:c r="X36" s="83" t="str">
        <x:f>IF(AND(ISNUMBER($G36),X$9=$G36),"◆","")</x:f>
        <x:v/>
      </x:c>
      <x:c r="Y36" s="34" t="str">
        <x:f>IF(AND(ISNUMBER($G36),Y$9=$G36),"◆","")</x:f>
        <x:v/>
      </x:c>
      <x:c r="Z36" s="34" t="str">
        <x:f>IF(AND(ISNUMBER($G36),Z$9=$G36),"◆","")</x:f>
        <x:v/>
      </x:c>
      <x:c r="AA36" s="34" t="str">
        <x:f>IF(AND(ISNUMBER($G36),AA$9=$G36),"◆","")</x:f>
        <x:v/>
      </x:c>
      <x:c r="AB36" s="34" t="str">
        <x:f>IF(AND(ISNUMBER($G36),AB$9=$G36),"◆","")</x:f>
        <x:v/>
      </x:c>
      <x:c r="AC36" s="76" t="str">
        <x:f>IF(AND(ISNUMBER($G36),AC$9=$G36),"◆","")</x:f>
        <x:v/>
      </x:c>
      <x:c r="AD36" s="76" t="str">
        <x:f>IF(AND(ISNUMBER($G36),AD$9=$G36),"◆","")</x:f>
        <x:v/>
      </x:c>
      <x:c r="AE36" s="83" t="str">
        <x:f>IF(AND(ISNUMBER($G36),AE$9=$G36),"◆","")</x:f>
        <x:v/>
      </x:c>
      <x:c r="AF36" s="34" t="str">
        <x:f>IF(AND(ISNUMBER($G36),AF$9=$G36),"◆","")</x:f>
        <x:v/>
      </x:c>
      <x:c r="AG36" s="34" t="str">
        <x:f>IF(AND(ISNUMBER($G36),AG$9=$G36),"◆","")</x:f>
        <x:v/>
      </x:c>
      <x:c r="AH36" s="34" t="str">
        <x:f>IF(AND(ISNUMBER($G36),AH$9=$G36),"◆","")</x:f>
        <x:v/>
      </x:c>
      <x:c r="AI36" s="34" t="str">
        <x:f>IF(AND(ISNUMBER($G36),AI$9=$G36),"◆","")</x:f>
        <x:v/>
      </x:c>
      <x:c r="AJ36" s="76" t="str">
        <x:f>IF(AND(ISNUMBER($G36),AJ$9=$G36),"◆","")</x:f>
        <x:v/>
      </x:c>
      <x:c r="AK36" s="76" t="str">
        <x:f>IF(AND(ISNUMBER($G36),AK$9=$G36),"◆","")</x:f>
        <x:v/>
      </x:c>
      <x:c r="AL36" s="83" t="str">
        <x:f>IF(AND(ISNUMBER($G36),AL$9=$G36),"◆","")</x:f>
        <x:v/>
      </x:c>
      <x:c r="AM36" s="4" t="str">
        <x:v>08 병행 개발·배포</x:v>
      </x:c>
      <x:c r="AN36" s="49"/>
      <x:c r="AO36" s="49"/>
      <x:c r="AP36" s="4" t="str">
        <x:v>최소 기능 검증 10/30. 인프라 준비 C12.2, 초기 연동 D5.2와 구분.</x:v>
      </x:c>
      <x:c r="AQ36" s="4" t="str">
        <x:v>#8 OPEN 0/13; #12 OPEN 0/19</x:v>
      </x:c>
      <x:c r="AR36" s="4" t="n">
        <x:f>IF(OR(ISNUMBER(SEARCH(AR$9,$D36)),ISNUMBER(SEARCH(AR$9,$E36))),1*100000000+IF(ISNUMBER($F36),$F36,99999)*1000+ROW(),1000000000)</x:f>
        <x:v>1000000000.0</x:v>
      </x:c>
      <x:c r="AS36" s="4" t="n">
        <x:f>IF(OR(ISNUMBER(SEARCH(AS$9,$D36)),ISNUMBER(SEARCH(AS$9,$E36))),2*100000000+IF(ISNUMBER($F36),$F36,99999)*1000+ROW(),1000000000)</x:f>
        <x:v>1000000000.0</x:v>
      </x:c>
      <x:c r="AT36" s="4" t="n">
        <x:f>IF(OR(ISNUMBER(SEARCH(AT$9,$D36)),ISNUMBER(SEARCH(AT$9,$E36))),3*100000000+IF(ISNUMBER($F36),$F36,99999)*1000+ROW(),1000000000)</x:f>
        <x:v>1000000000.0</x:v>
      </x:c>
      <x:c r="AU36" s="4" t="n">
        <x:f>IF(OR(ISNUMBER(SEARCH(AU$9,$D36)),ISNUMBER(SEARCH(AU$9,$E36))),4*100000000+IF(ISNUMBER($F36),$F36,99999)*1000+ROW(),1000000000)</x:f>
        <x:v>1000000000.0</x:v>
      </x:c>
      <x:c r="AV36" s="4" t="n">
        <x:f>IF(OR(ISNUMBER(SEARCH(AV$9,$D36)),ISNUMBER(SEARCH(AV$9,$E36))),5*100000000+IF(ISNUMBER($F36),$F36,99999)*1000+ROW(),1000000000)</x:f>
        <x:v>546324036.0</x:v>
      </x:c>
      <x:c r="AW36" s="4" t="str">
        <x:v>https://github.com/team-blocks-lab/otter-shield/issues/8</x:v>
      </x:c>
      <x:c r="AX36" s="4" t="str">
        <x:v>#8; #12</x:v>
      </x:c>
      <x:c r="AY36" s="106" t="str">
        <x:v>상품 조회·모의 주문 최소 기능 검증</x:v>
      </x:c>
    </x:row>
    <x:row r="37" ht="31" customHeight="1">
      <x:c r="A37" s="66" t="str">
        <x:v>D5.2</x:v>
      </x:c>
      <x:c r="B37" s="67" t="str">
        <x:v>개발</x:v>
      </x:c>
      <x:c r="C37" s="31" t="str">
        <x:v>Store AWS 배포·서비스 연동</x:v>
      </x:c>
      <x:c r="D37" s="31" t="str">
        <x:v>M5 유은혜(PM)</x:v>
      </x:c>
      <x:c r="E37" s="31" t="str">
        <x:v>M3 홍은서 · M1 유용수</x:v>
      </x:c>
      <x:c r="F37" s="41" t="n">
        <x:v>46326</x:v>
      </x:c>
      <x:c r="G37" s="41" t="n">
        <x:v>46326</x:v>
      </x:c>
      <x:c r="H37" s="42" t="str">
        <x:v>미확인</x:v>
      </x:c>
      <x:c r="I37" s="31" t="str">
        <x:v>D5.1, C12.2</x:v>
      </x:c>
      <x:c r="J37" s="65" t="str">
        <x:f>HYPERLINK($AW37,"#8 +1")</x:f>
        <x:v>#8 +1</x:v>
      </x:c>
      <x:c r="K37" s="34" t="str">
        <x:f>IF(AND(ISNUMBER($G37),K$9=$G37),"◆","")</x:f>
        <x:v/>
      </x:c>
      <x:c r="L37" s="74" t="str">
        <x:f>IF(AND(ISNUMBER($G37),L$9=$G37),"◆","")</x:f>
        <x:v/>
      </x:c>
      <x:c r="M37" s="34" t="str">
        <x:f>IF(AND(ISNUMBER($G37),M$9=$G37),"◆","")</x:f>
        <x:v/>
      </x:c>
      <x:c r="N37" s="34" t="str">
        <x:f>IF(AND(ISNUMBER($G37),N$9=$G37),"◆","")</x:f>
        <x:v/>
      </x:c>
      <x:c r="O37" s="76" t="str">
        <x:f>IF(AND(ISNUMBER($G37),O$9=$G37),"◆","")</x:f>
        <x:v/>
      </x:c>
      <x:c r="P37" s="76" t="str">
        <x:f>IF(AND(ISNUMBER($G37),P$9=$G37),"◆","")</x:f>
        <x:v/>
      </x:c>
      <x:c r="Q37" s="83" t="str">
        <x:f>IF(AND(ISNUMBER($G37),Q$9=$G37),"◆","")</x:f>
        <x:v/>
      </x:c>
      <x:c r="R37" s="34" t="str">
        <x:f>IF(AND(ISNUMBER($G37),R$9=$G37),"◆","")</x:f>
        <x:v/>
      </x:c>
      <x:c r="S37" s="34" t="str">
        <x:f>IF(AND(ISNUMBER($G37),S$9=$G37),"◆","")</x:f>
        <x:v/>
      </x:c>
      <x:c r="T37" s="34" t="str">
        <x:f>IF(AND(ISNUMBER($G37),T$9=$G37),"◆","")</x:f>
        <x:v/>
      </x:c>
      <x:c r="U37" s="34" t="str">
        <x:f>IF(AND(ISNUMBER($G37),U$9=$G37),"◆","")</x:f>
        <x:v/>
      </x:c>
      <x:c r="V37" s="76" t="str">
        <x:f>IF(AND(ISNUMBER($G37),V$9=$G37),"◆","")</x:f>
        <x:v>◆</x:v>
      </x:c>
      <x:c r="W37" s="86" t="str">
        <x:f>IF(AND(ISNUMBER($G37),W$9=$G37),"◆","")</x:f>
        <x:v/>
      </x:c>
      <x:c r="X37" s="83" t="str">
        <x:f>IF(AND(ISNUMBER($G37),X$9=$G37),"◆","")</x:f>
        <x:v/>
      </x:c>
      <x:c r="Y37" s="34" t="str">
        <x:f>IF(AND(ISNUMBER($G37),Y$9=$G37),"◆","")</x:f>
        <x:v/>
      </x:c>
      <x:c r="Z37" s="34" t="str">
        <x:f>IF(AND(ISNUMBER($G37),Z$9=$G37),"◆","")</x:f>
        <x:v/>
      </x:c>
      <x:c r="AA37" s="34" t="str">
        <x:f>IF(AND(ISNUMBER($G37),AA$9=$G37),"◆","")</x:f>
        <x:v/>
      </x:c>
      <x:c r="AB37" s="34" t="str">
        <x:f>IF(AND(ISNUMBER($G37),AB$9=$G37),"◆","")</x:f>
        <x:v/>
      </x:c>
      <x:c r="AC37" s="76" t="str">
        <x:f>IF(AND(ISNUMBER($G37),AC$9=$G37),"◆","")</x:f>
        <x:v/>
      </x:c>
      <x:c r="AD37" s="76" t="str">
        <x:f>IF(AND(ISNUMBER($G37),AD$9=$G37),"◆","")</x:f>
        <x:v/>
      </x:c>
      <x:c r="AE37" s="83" t="str">
        <x:f>IF(AND(ISNUMBER($G37),AE$9=$G37),"◆","")</x:f>
        <x:v/>
      </x:c>
      <x:c r="AF37" s="34" t="str">
        <x:f>IF(AND(ISNUMBER($G37),AF$9=$G37),"◆","")</x:f>
        <x:v/>
      </x:c>
      <x:c r="AG37" s="34" t="str">
        <x:f>IF(AND(ISNUMBER($G37),AG$9=$G37),"◆","")</x:f>
        <x:v/>
      </x:c>
      <x:c r="AH37" s="34" t="str">
        <x:f>IF(AND(ISNUMBER($G37),AH$9=$G37),"◆","")</x:f>
        <x:v/>
      </x:c>
      <x:c r="AI37" s="34" t="str">
        <x:f>IF(AND(ISNUMBER($G37),AI$9=$G37),"◆","")</x:f>
        <x:v/>
      </x:c>
      <x:c r="AJ37" s="76" t="str">
        <x:f>IF(AND(ISNUMBER($G37),AJ$9=$G37),"◆","")</x:f>
        <x:v/>
      </x:c>
      <x:c r="AK37" s="76" t="str">
        <x:f>IF(AND(ISNUMBER($G37),AK$9=$G37),"◆","")</x:f>
        <x:v/>
      </x:c>
      <x:c r="AL37" s="83" t="str">
        <x:f>IF(AND(ISNUMBER($G37),AL$9=$G37),"◆","")</x:f>
        <x:v/>
      </x:c>
      <x:c r="AM37" s="4" t="str">
        <x:v>08 병행 개발·배포</x:v>
      </x:c>
      <x:c r="AN37" s="49"/>
      <x:c r="AO37" s="49"/>
      <x:c r="AP37" s="4" t="str">
        <x:v>ALB–EKS–비공개 RDS 및 정상 상품/모의 주문. 토요일 계획 유지.</x:v>
      </x:c>
      <x:c r="AQ37" s="4" t="str">
        <x:v>#8 OPEN 0/13; #12 OPEN 0/19</x:v>
      </x:c>
      <x:c r="AR37" s="4" t="n">
        <x:f>IF(OR(ISNUMBER(SEARCH(AR$9,$D37)),ISNUMBER(SEARCH(AR$9,$E37))),1*100000000+IF(ISNUMBER($F37),$F37,99999)*1000+ROW(),1000000000)</x:f>
        <x:v>146326037.0</x:v>
      </x:c>
      <x:c r="AS37" s="4" t="n">
        <x:f>IF(OR(ISNUMBER(SEARCH(AS$9,$D37)),ISNUMBER(SEARCH(AS$9,$E37))),2*100000000+IF(ISNUMBER($F37),$F37,99999)*1000+ROW(),1000000000)</x:f>
        <x:v>1000000000.0</x:v>
      </x:c>
      <x:c r="AT37" s="4" t="n">
        <x:f>IF(OR(ISNUMBER(SEARCH(AT$9,$D37)),ISNUMBER(SEARCH(AT$9,$E37))),3*100000000+IF(ISNUMBER($F37),$F37,99999)*1000+ROW(),1000000000)</x:f>
        <x:v>346326037.0</x:v>
      </x:c>
      <x:c r="AU37" s="4" t="n">
        <x:f>IF(OR(ISNUMBER(SEARCH(AU$9,$D37)),ISNUMBER(SEARCH(AU$9,$E37))),4*100000000+IF(ISNUMBER($F37),$F37,99999)*1000+ROW(),1000000000)</x:f>
        <x:v>1000000000.0</x:v>
      </x:c>
      <x:c r="AV37" s="4" t="n">
        <x:f>IF(OR(ISNUMBER(SEARCH(AV$9,$D37)),ISNUMBER(SEARCH(AV$9,$E37))),5*100000000+IF(ISNUMBER($F37),$F37,99999)*1000+ROW(),1000000000)</x:f>
        <x:v>546326037.0</x:v>
      </x:c>
      <x:c r="AW37" s="4" t="str">
        <x:v>https://github.com/team-blocks-lab/otter-shield/issues/8</x:v>
      </x:c>
      <x:c r="AX37" s="4" t="str">
        <x:v>#8; #12</x:v>
      </x:c>
      <x:c r="AY37" s="106" t="str">
        <x:v>ALB→EKS→비공개 RDS / 상품·주문 확인</x:v>
      </x:c>
    </x:row>
    <x:row r="38" ht="31" customHeight="1">
      <x:c r="A38" s="66" t="str">
        <x:v>D5.3</x:v>
      </x:c>
      <x:c r="B38" s="67" t="str">
        <x:v>개발</x:v>
      </x:c>
      <x:c r="C38" s="31" t="str">
        <x:v>Store 오류 분석·일정 영향 검토</x:v>
      </x:c>
      <x:c r="D38" s="31" t="str">
        <x:v>M5 유은혜(PM)</x:v>
      </x:c>
      <x:c r="E38" s="31" t="str">
        <x:v>M3 홍은서</x:v>
      </x:c>
      <x:c r="F38" s="41" t="n">
        <x:v>46328</x:v>
      </x:c>
      <x:c r="G38" s="41" t="n">
        <x:v>46328</x:v>
      </x:c>
      <x:c r="H38" s="42" t="str">
        <x:v>미확인</x:v>
      </x:c>
      <x:c r="I38" s="31" t="str">
        <x:v>D5.2</x:v>
      </x:c>
      <x:c r="J38" s="65" t="str">
        <x:f>HYPERLINK($AW38,"#8 +1")</x:f>
        <x:v>#8 +1</x:v>
      </x:c>
      <x:c r="K38" s="34" t="str">
        <x:f>IF(AND(ISNUMBER($G38),K$9=$G38),"◆","")</x:f>
        <x:v/>
      </x:c>
      <x:c r="L38" s="74" t="str">
        <x:f>IF(AND(ISNUMBER($G38),L$9=$G38),"◆","")</x:f>
        <x:v/>
      </x:c>
      <x:c r="M38" s="34" t="str">
        <x:f>IF(AND(ISNUMBER($G38),M$9=$G38),"◆","")</x:f>
        <x:v/>
      </x:c>
      <x:c r="N38" s="34" t="str">
        <x:f>IF(AND(ISNUMBER($G38),N$9=$G38),"◆","")</x:f>
        <x:v/>
      </x:c>
      <x:c r="O38" s="76" t="str">
        <x:f>IF(AND(ISNUMBER($G38),O$9=$G38),"◆","")</x:f>
        <x:v/>
      </x:c>
      <x:c r="P38" s="76" t="str">
        <x:f>IF(AND(ISNUMBER($G38),P$9=$G38),"◆","")</x:f>
        <x:v/>
      </x:c>
      <x:c r="Q38" s="83" t="str">
        <x:f>IF(AND(ISNUMBER($G38),Q$9=$G38),"◆","")</x:f>
        <x:v/>
      </x:c>
      <x:c r="R38" s="34" t="str">
        <x:f>IF(AND(ISNUMBER($G38),R$9=$G38),"◆","")</x:f>
        <x:v/>
      </x:c>
      <x:c r="S38" s="34" t="str">
        <x:f>IF(AND(ISNUMBER($G38),S$9=$G38),"◆","")</x:f>
        <x:v/>
      </x:c>
      <x:c r="T38" s="34" t="str">
        <x:f>IF(AND(ISNUMBER($G38),T$9=$G38),"◆","")</x:f>
        <x:v/>
      </x:c>
      <x:c r="U38" s="34" t="str">
        <x:f>IF(AND(ISNUMBER($G38),U$9=$G38),"◆","")</x:f>
        <x:v/>
      </x:c>
      <x:c r="V38" s="76" t="str">
        <x:f>IF(AND(ISNUMBER($G38),V$9=$G38),"◆","")</x:f>
        <x:v/>
      </x:c>
      <x:c r="W38" s="86" t="str">
        <x:f>IF(AND(ISNUMBER($G38),W$9=$G38),"◆","")</x:f>
        <x:v/>
      </x:c>
      <x:c r="X38" s="83" t="str">
        <x:f>IF(AND(ISNUMBER($G38),X$9=$G38),"◆","")</x:f>
        <x:v>◆</x:v>
      </x:c>
      <x:c r="Y38" s="34" t="str">
        <x:f>IF(AND(ISNUMBER($G38),Y$9=$G38),"◆","")</x:f>
        <x:v/>
      </x:c>
      <x:c r="Z38" s="34" t="str">
        <x:f>IF(AND(ISNUMBER($G38),Z$9=$G38),"◆","")</x:f>
        <x:v/>
      </x:c>
      <x:c r="AA38" s="34" t="str">
        <x:f>IF(AND(ISNUMBER($G38),AA$9=$G38),"◆","")</x:f>
        <x:v/>
      </x:c>
      <x:c r="AB38" s="34" t="str">
        <x:f>IF(AND(ISNUMBER($G38),AB$9=$G38),"◆","")</x:f>
        <x:v/>
      </x:c>
      <x:c r="AC38" s="76" t="str">
        <x:f>IF(AND(ISNUMBER($G38),AC$9=$G38),"◆","")</x:f>
        <x:v/>
      </x:c>
      <x:c r="AD38" s="76" t="str">
        <x:f>IF(AND(ISNUMBER($G38),AD$9=$G38),"◆","")</x:f>
        <x:v/>
      </x:c>
      <x:c r="AE38" s="83" t="str">
        <x:f>IF(AND(ISNUMBER($G38),AE$9=$G38),"◆","")</x:f>
        <x:v/>
      </x:c>
      <x:c r="AF38" s="34" t="str">
        <x:f>IF(AND(ISNUMBER($G38),AF$9=$G38),"◆","")</x:f>
        <x:v/>
      </x:c>
      <x:c r="AG38" s="34" t="str">
        <x:f>IF(AND(ISNUMBER($G38),AG$9=$G38),"◆","")</x:f>
        <x:v/>
      </x:c>
      <x:c r="AH38" s="34" t="str">
        <x:f>IF(AND(ISNUMBER($G38),AH$9=$G38),"◆","")</x:f>
        <x:v/>
      </x:c>
      <x:c r="AI38" s="34" t="str">
        <x:f>IF(AND(ISNUMBER($G38),AI$9=$G38),"◆","")</x:f>
        <x:v/>
      </x:c>
      <x:c r="AJ38" s="76" t="str">
        <x:f>IF(AND(ISNUMBER($G38),AJ$9=$G38),"◆","")</x:f>
        <x:v/>
      </x:c>
      <x:c r="AK38" s="76" t="str">
        <x:f>IF(AND(ISNUMBER($G38),AK$9=$G38),"◆","")</x:f>
        <x:v/>
      </x:c>
      <x:c r="AL38" s="83" t="str">
        <x:f>IF(AND(ISNUMBER($G38),AL$9=$G38),"◆","")</x:f>
        <x:v/>
      </x:c>
      <x:c r="AM38" s="4" t="str">
        <x:v>08 병행 개발·배포</x:v>
      </x:c>
      <x:c r="AN38" s="49"/>
      <x:c r="AO38" s="49"/>
      <x:c r="AP38" s="4" t="str">
        <x:v>문제 발생 시 공수·AI/CD 영향을 #6에서 조정. D5 최종 통합은 C8 11/06.</x:v>
      </x:c>
      <x:c r="AQ38" s="4" t="str">
        <x:v>#8 OPEN 0/13; #12 OPEN 0/19</x:v>
      </x:c>
      <x:c r="AR38" s="4" t="n">
        <x:f>IF(OR(ISNUMBER(SEARCH(AR$9,$D38)),ISNUMBER(SEARCH(AR$9,$E38))),1*100000000+IF(ISNUMBER($F38),$F38,99999)*1000+ROW(),1000000000)</x:f>
        <x:v>1000000000.0</x:v>
      </x:c>
      <x:c r="AS38" s="4" t="n">
        <x:f>IF(OR(ISNUMBER(SEARCH(AS$9,$D38)),ISNUMBER(SEARCH(AS$9,$E38))),2*100000000+IF(ISNUMBER($F38),$F38,99999)*1000+ROW(),1000000000)</x:f>
        <x:v>1000000000.0</x:v>
      </x:c>
      <x:c r="AT38" s="4" t="n">
        <x:f>IF(OR(ISNUMBER(SEARCH(AT$9,$D38)),ISNUMBER(SEARCH(AT$9,$E38))),3*100000000+IF(ISNUMBER($F38),$F38,99999)*1000+ROW(),1000000000)</x:f>
        <x:v>346328038.0</x:v>
      </x:c>
      <x:c r="AU38" s="4" t="n">
        <x:f>IF(OR(ISNUMBER(SEARCH(AU$9,$D38)),ISNUMBER(SEARCH(AU$9,$E38))),4*100000000+IF(ISNUMBER($F38),$F38,99999)*1000+ROW(),1000000000)</x:f>
        <x:v>1000000000.0</x:v>
      </x:c>
      <x:c r="AV38" s="4" t="n">
        <x:f>IF(OR(ISNUMBER(SEARCH(AV$9,$D38)),ISNUMBER(SEARCH(AV$9,$E38))),5*100000000+IF(ISNUMBER($F38),$F38,99999)*1000+ROW(),1000000000)</x:f>
        <x:v>546328038.0</x:v>
      </x:c>
      <x:c r="AW38" s="4" t="str">
        <x:v>https://github.com/team-blocks-lab/otter-shield/issues/8</x:v>
      </x:c>
      <x:c r="AX38" s="4" t="str">
        <x:v>#8; #12</x:v>
      </x:c>
      <x:c r="AY38" s="106" t="str">
        <x:v>완료 후</x:v>
      </x:c>
    </x:row>
    <x:row r="39" ht="39" customHeight="1">
      <x:c r="A39" s="66" t="str">
        <x:v>D6.1</x:v>
      </x:c>
      <x:c r="B39" s="67" t="str">
        <x:v>개발</x:v>
      </x:c>
      <x:c r="C39" s="31" t="str">
        <x:v>CI 구성·이미지·배포 저장소 준비</x:v>
      </x:c>
      <x:c r="D39" s="31" t="str">
        <x:v>M5 유은혜(PM)</x:v>
      </x:c>
      <x:c r="E39" s="31" t="str">
        <x:v>M3 홍은서</x:v>
      </x:c>
      <x:c r="F39" s="41" t="n">
        <x:v>46323</x:v>
      </x:c>
      <x:c r="G39" s="41" t="n">
        <x:v>46325</x:v>
      </x:c>
      <x:c r="H39" s="42" t="str">
        <x:v>미확인</x:v>
      </x:c>
      <x:c r="I39" s="31" t="str">
        <x:v>D1, D3</x:v>
      </x:c>
      <x:c r="J39" s="65" t="str">
        <x:f>HYPERLINK($AW39,"#8")</x:f>
        <x:v>#8</x:v>
      </x:c>
      <x:c r="K39" s="34" t="str">
        <x:f>""</x:f>
        <x:v/>
      </x:c>
      <x:c r="L39" s="74" t="str">
        <x:f>""</x:f>
        <x:v/>
      </x:c>
      <x:c r="M39" s="34" t="str">
        <x:f>""</x:f>
        <x:v/>
      </x:c>
      <x:c r="N39" s="34" t="str">
        <x:f>""</x:f>
        <x:v/>
      </x:c>
      <x:c r="O39" s="76" t="str">
        <x:f>""</x:f>
        <x:v/>
      </x:c>
      <x:c r="P39" s="76" t="str">
        <x:f>""</x:f>
        <x:v/>
      </x:c>
      <x:c r="Q39" s="83" t="str">
        <x:f>""</x:f>
        <x:v/>
      </x:c>
      <x:c r="R39" s="34" t="str">
        <x:f>""</x:f>
        <x:v/>
      </x:c>
      <x:c r="S39" s="34" t="str">
        <x:f>""</x:f>
        <x:v/>
      </x:c>
      <x:c r="T39" s="34" t="str">
        <x:f>""</x:f>
        <x:v/>
      </x:c>
      <x:c r="U39" s="34" t="str">
        <x:f>""</x:f>
        <x:v/>
      </x:c>
      <x:c r="V39" s="76" t="str">
        <x:f>""</x:f>
        <x:v/>
      </x:c>
      <x:c r="W39" s="86" t="str">
        <x:f>""</x:f>
        <x:v/>
      </x:c>
      <x:c r="X39" s="83" t="str">
        <x:f>""</x:f>
        <x:v/>
      </x:c>
      <x:c r="Y39" s="34" t="str">
        <x:f>""</x:f>
        <x:v/>
      </x:c>
      <x:c r="Z39" s="34" t="str">
        <x:f>""</x:f>
        <x:v/>
      </x:c>
      <x:c r="AA39" s="34" t="str">
        <x:f>""</x:f>
        <x:v/>
      </x:c>
      <x:c r="AB39" s="34" t="str">
        <x:f>""</x:f>
        <x:v/>
      </x:c>
      <x:c r="AC39" s="76" t="str">
        <x:f>""</x:f>
        <x:v/>
      </x:c>
      <x:c r="AD39" s="76" t="str">
        <x:f>""</x:f>
        <x:v/>
      </x:c>
      <x:c r="AE39" s="83" t="str">
        <x:f>""</x:f>
        <x:v/>
      </x:c>
      <x:c r="AF39" s="34" t="str">
        <x:f>""</x:f>
        <x:v/>
      </x:c>
      <x:c r="AG39" s="34" t="str">
        <x:f>""</x:f>
        <x:v/>
      </x:c>
      <x:c r="AH39" s="34" t="str">
        <x:f>""</x:f>
        <x:v/>
      </x:c>
      <x:c r="AI39" s="34" t="str">
        <x:f>""</x:f>
        <x:v/>
      </x:c>
      <x:c r="AJ39" s="76" t="str">
        <x:f>""</x:f>
        <x:v/>
      </x:c>
      <x:c r="AK39" s="76" t="str">
        <x:f>""</x:f>
        <x:v/>
      </x:c>
      <x:c r="AL39" s="83" t="str">
        <x:f>""</x:f>
        <x:v/>
      </x:c>
      <x:c r="AM39" s="4" t="str">
        <x:v>08 병행 개발·배포</x:v>
      </x:c>
      <x:c r="AN39" s="49"/>
      <x:c r="AO39" s="49"/>
      <x:c r="AP39" s="4" t="str">
        <x:v>코드·설정·매체 준비. AS-IS 보안·이중화 개선 선적용 금지.</x:v>
      </x:c>
      <x:c r="AQ39" s="4" t="str">
        <x:v>#8 OPEN 0/13</x:v>
      </x:c>
      <x:c r="AR39" s="4" t="n">
        <x:f>IF(OR(ISNUMBER(SEARCH(AR$9,$D39)),ISNUMBER(SEARCH(AR$9,$E39))),1*100000000+IF(ISNUMBER($F39),$F39,99999)*1000+ROW(),1000000000)</x:f>
        <x:v>1000000000.0</x:v>
      </x:c>
      <x:c r="AS39" s="4" t="n">
        <x:f>IF(OR(ISNUMBER(SEARCH(AS$9,$D39)),ISNUMBER(SEARCH(AS$9,$E39))),2*100000000+IF(ISNUMBER($F39),$F39,99999)*1000+ROW(),1000000000)</x:f>
        <x:v>1000000000.0</x:v>
      </x:c>
      <x:c r="AT39" s="4" t="n">
        <x:f>IF(OR(ISNUMBER(SEARCH(AT$9,$D39)),ISNUMBER(SEARCH(AT$9,$E39))),3*100000000+IF(ISNUMBER($F39),$F39,99999)*1000+ROW(),1000000000)</x:f>
        <x:v>346323039.0</x:v>
      </x:c>
      <x:c r="AU39" s="4" t="n">
        <x:f>IF(OR(ISNUMBER(SEARCH(AU$9,$D39)),ISNUMBER(SEARCH(AU$9,$E39))),4*100000000+IF(ISNUMBER($F39),$F39,99999)*1000+ROW(),1000000000)</x:f>
        <x:v>1000000000.0</x:v>
      </x:c>
      <x:c r="AV39" s="4" t="n">
        <x:f>IF(OR(ISNUMBER(SEARCH(AV$9,$D39)),ISNUMBER(SEARCH(AV$9,$E39))),5*100000000+IF(ISNUMBER($F39),$F39,99999)*1000+ROW(),1000000000)</x:f>
        <x:v>546323039.0</x:v>
      </x:c>
      <x:c r="AW39" s="4" t="str">
        <x:v>https://github.com/team-blocks-lab/otter-shield/issues/8</x:v>
      </x:c>
      <x:c r="AX39" s="4" t="str">
        <x:v>#8</x:v>
      </x:c>
      <x:c r="AY39" s="106" t="str">
        <x:v>D1 실행 조건·D3의 빌드 가능한 코드 인계 후 병행. CI 성공·이미지 게시·배포 저장소 갱신 각각 확인.</x:v>
      </x:c>
    </x:row>
    <x:row r="40" ht="39" customHeight="1">
      <x:c r="A40" s="66" t="str">
        <x:v>D6.2</x:v>
      </x:c>
      <x:c r="B40" s="67" t="str">
        <x:v>개발</x:v>
      </x:c>
      <x:c r="C40" s="31" t="str">
        <x:v>한국 CD 구성·AI 서비스 배포</x:v>
      </x:c>
      <x:c r="D40" s="31" t="str">
        <x:v>M5 유은혜(PM)</x:v>
      </x:c>
      <x:c r="E40" s="31" t="str">
        <x:v>M3 홍은서</x:v>
      </x:c>
      <x:c r="F40" s="41" t="n">
        <x:v>46330</x:v>
      </x:c>
      <x:c r="G40" s="41" t="n">
        <x:v>46330</x:v>
      </x:c>
      <x:c r="H40" s="42" t="str">
        <x:v>미확인</x:v>
      </x:c>
      <x:c r="I40" s="31" t="str">
        <x:v>D6.1, I26.2, D7</x:v>
      </x:c>
      <x:c r="J40" s="65" t="str">
        <x:f>HYPERLINK($AW40,"#8 +1")</x:f>
        <x:v>#8 +1</x:v>
      </x:c>
      <x:c r="K40" s="34" t="str">
        <x:f>IF(AND(ISNUMBER($G40),K$9=$G40),"◆","")</x:f>
        <x:v/>
      </x:c>
      <x:c r="L40" s="74" t="str">
        <x:f>IF(AND(ISNUMBER($G40),L$9=$G40),"◆","")</x:f>
        <x:v/>
      </x:c>
      <x:c r="M40" s="34" t="str">
        <x:f>IF(AND(ISNUMBER($G40),M$9=$G40),"◆","")</x:f>
        <x:v/>
      </x:c>
      <x:c r="N40" s="34" t="str">
        <x:f>IF(AND(ISNUMBER($G40),N$9=$G40),"◆","")</x:f>
        <x:v/>
      </x:c>
      <x:c r="O40" s="76" t="str">
        <x:f>IF(AND(ISNUMBER($G40),O$9=$G40),"◆","")</x:f>
        <x:v/>
      </x:c>
      <x:c r="P40" s="76" t="str">
        <x:f>IF(AND(ISNUMBER($G40),P$9=$G40),"◆","")</x:f>
        <x:v/>
      </x:c>
      <x:c r="Q40" s="83" t="str">
        <x:f>IF(AND(ISNUMBER($G40),Q$9=$G40),"◆","")</x:f>
        <x:v/>
      </x:c>
      <x:c r="R40" s="34" t="str">
        <x:f>IF(AND(ISNUMBER($G40),R$9=$G40),"◆","")</x:f>
        <x:v/>
      </x:c>
      <x:c r="S40" s="34" t="str">
        <x:f>IF(AND(ISNUMBER($G40),S$9=$G40),"◆","")</x:f>
        <x:v/>
      </x:c>
      <x:c r="T40" s="34" t="str">
        <x:f>IF(AND(ISNUMBER($G40),T$9=$G40),"◆","")</x:f>
        <x:v/>
      </x:c>
      <x:c r="U40" s="34" t="str">
        <x:f>IF(AND(ISNUMBER($G40),U$9=$G40),"◆","")</x:f>
        <x:v/>
      </x:c>
      <x:c r="V40" s="76" t="str">
        <x:f>IF(AND(ISNUMBER($G40),V$9=$G40),"◆","")</x:f>
        <x:v/>
      </x:c>
      <x:c r="W40" s="86" t="str">
        <x:f>IF(AND(ISNUMBER($G40),W$9=$G40),"◆","")</x:f>
        <x:v/>
      </x:c>
      <x:c r="X40" s="83" t="str">
        <x:f>IF(AND(ISNUMBER($G40),X$9=$G40),"◆","")</x:f>
        <x:v/>
      </x:c>
      <x:c r="Y40" s="34" t="str">
        <x:f>IF(AND(ISNUMBER($G40),Y$9=$G40),"◆","")</x:f>
        <x:v/>
      </x:c>
      <x:c r="Z40" s="34" t="str">
        <x:f>IF(AND(ISNUMBER($G40),Z$9=$G40),"◆","")</x:f>
        <x:v>◆</x:v>
      </x:c>
      <x:c r="AA40" s="34" t="str">
        <x:f>IF(AND(ISNUMBER($G40),AA$9=$G40),"◆","")</x:f>
        <x:v/>
      </x:c>
      <x:c r="AB40" s="34" t="str">
        <x:f>IF(AND(ISNUMBER($G40),AB$9=$G40),"◆","")</x:f>
        <x:v/>
      </x:c>
      <x:c r="AC40" s="76" t="str">
        <x:f>IF(AND(ISNUMBER($G40),AC$9=$G40),"◆","")</x:f>
        <x:v/>
      </x:c>
      <x:c r="AD40" s="76" t="str">
        <x:f>IF(AND(ISNUMBER($G40),AD$9=$G40),"◆","")</x:f>
        <x:v/>
      </x:c>
      <x:c r="AE40" s="83" t="str">
        <x:f>IF(AND(ISNUMBER($G40),AE$9=$G40),"◆","")</x:f>
        <x:v/>
      </x:c>
      <x:c r="AF40" s="34" t="str">
        <x:f>IF(AND(ISNUMBER($G40),AF$9=$G40),"◆","")</x:f>
        <x:v/>
      </x:c>
      <x:c r="AG40" s="34" t="str">
        <x:f>IF(AND(ISNUMBER($G40),AG$9=$G40),"◆","")</x:f>
        <x:v/>
      </x:c>
      <x:c r="AH40" s="34" t="str">
        <x:f>IF(AND(ISNUMBER($G40),AH$9=$G40),"◆","")</x:f>
        <x:v/>
      </x:c>
      <x:c r="AI40" s="34" t="str">
        <x:f>IF(AND(ISNUMBER($G40),AI$9=$G40),"◆","")</x:f>
        <x:v/>
      </x:c>
      <x:c r="AJ40" s="76" t="str">
        <x:f>IF(AND(ISNUMBER($G40),AJ$9=$G40),"◆","")</x:f>
        <x:v/>
      </x:c>
      <x:c r="AK40" s="76" t="str">
        <x:f>IF(AND(ISNUMBER($G40),AK$9=$G40),"◆","")</x:f>
        <x:v/>
      </x:c>
      <x:c r="AL40" s="83" t="str">
        <x:f>IF(AND(ISNUMBER($G40),AL$9=$G40),"◆","")</x:f>
        <x:v/>
      </x:c>
      <x:c r="AM40" s="4" t="str">
        <x:v>08 병행 개발·배포</x:v>
      </x:c>
      <x:c r="AN40" s="49"/>
      <x:c r="AO40" s="49"/>
      <x:c r="AP40" s="4" t="str">
        <x:v>11/04 오후. M3 서버 배포·M5 코드 및 공동 확인.</x:v>
      </x:c>
      <x:c r="AQ40" s="4" t="str">
        <x:v>#8 OPEN 0/13; #26 OPEN 0/11</x:v>
      </x:c>
      <x:c r="AR40" s="4" t="n">
        <x:f>IF(OR(ISNUMBER(SEARCH(AR$9,$D40)),ISNUMBER(SEARCH(AR$9,$E40))),1*100000000+IF(ISNUMBER($F40),$F40,99999)*1000+ROW(),1000000000)</x:f>
        <x:v>1000000000.0</x:v>
      </x:c>
      <x:c r="AS40" s="4" t="n">
        <x:f>IF(OR(ISNUMBER(SEARCH(AS$9,$D40)),ISNUMBER(SEARCH(AS$9,$E40))),2*100000000+IF(ISNUMBER($F40),$F40,99999)*1000+ROW(),1000000000)</x:f>
        <x:v>1000000000.0</x:v>
      </x:c>
      <x:c r="AT40" s="4" t="n">
        <x:f>IF(OR(ISNUMBER(SEARCH(AT$9,$D40)),ISNUMBER(SEARCH(AT$9,$E40))),3*100000000+IF(ISNUMBER($F40),$F40,99999)*1000+ROW(),1000000000)</x:f>
        <x:v>346330040.0</x:v>
      </x:c>
      <x:c r="AU40" s="4" t="n">
        <x:f>IF(OR(ISNUMBER(SEARCH(AU$9,$D40)),ISNUMBER(SEARCH(AU$9,$E40))),4*100000000+IF(ISNUMBER($F40),$F40,99999)*1000+ROW(),1000000000)</x:f>
        <x:v>1000000000.0</x:v>
      </x:c>
      <x:c r="AV40" s="4" t="n">
        <x:f>IF(OR(ISNUMBER(SEARCH(AV$9,$D40)),ISNUMBER(SEARCH(AV$9,$E40))),5*100000000+IF(ISNUMBER($F40),$F40,99999)*1000+ROW(),1000000000)</x:f>
        <x:v>546330040.0</x:v>
      </x:c>
      <x:c r="AW40" s="4" t="str">
        <x:v>https://github.com/team-blocks-lab/otter-shield/issues/8</x:v>
      </x:c>
      <x:c r="AX40" s="4" t="str">
        <x:v>#8; #26</x:v>
      </x:c>
      <x:c r="AY40" s="106" t="str">
        <x:v>11/04 오전 I26.2와 D7의 자막/API 인계 확인 후 오후 M3·M5 배포. 플레이어 최종 검증은 C8.</x:v>
      </x:c>
    </x:row>
    <x:row r="41" ht="31" customHeight="1">
      <x:c r="A41" s="66" t="str">
        <x:v>D6.3</x:v>
      </x:c>
      <x:c r="B41" s="67" t="str">
        <x:v>개발</x:v>
      </x:c>
      <x:c r="C41" s="31" t="str">
        <x:v>Store CD 구성·자동 배포</x:v>
      </x:c>
      <x:c r="D41" s="31" t="str">
        <x:v>M5 유은혜(PM)</x:v>
      </x:c>
      <x:c r="E41" s="31" t="str">
        <x:v>—</x:v>
      </x:c>
      <x:c r="F41" s="41" t="n">
        <x:v>46331</x:v>
      </x:c>
      <x:c r="G41" s="41" t="n">
        <x:v>46331</x:v>
      </x:c>
      <x:c r="H41" s="42" t="str">
        <x:v>미확인</x:v>
      </x:c>
      <x:c r="I41" s="31" t="str">
        <x:v>D6.1, D5.2</x:v>
      </x:c>
      <x:c r="J41" s="65" t="str">
        <x:f>HYPERLINK($AW41,"#8 +1")</x:f>
        <x:v>#8 +1</x:v>
      </x:c>
      <x:c r="K41" s="34" t="str">
        <x:f>IF(AND(ISNUMBER($G41),K$9=$G41),"◆","")</x:f>
        <x:v/>
      </x:c>
      <x:c r="L41" s="74" t="str">
        <x:f>IF(AND(ISNUMBER($G41),L$9=$G41),"◆","")</x:f>
        <x:v/>
      </x:c>
      <x:c r="M41" s="34" t="str">
        <x:f>IF(AND(ISNUMBER($G41),M$9=$G41),"◆","")</x:f>
        <x:v/>
      </x:c>
      <x:c r="N41" s="34" t="str">
        <x:f>IF(AND(ISNUMBER($G41),N$9=$G41),"◆","")</x:f>
        <x:v/>
      </x:c>
      <x:c r="O41" s="76" t="str">
        <x:f>IF(AND(ISNUMBER($G41),O$9=$G41),"◆","")</x:f>
        <x:v/>
      </x:c>
      <x:c r="P41" s="76" t="str">
        <x:f>IF(AND(ISNUMBER($G41),P$9=$G41),"◆","")</x:f>
        <x:v/>
      </x:c>
      <x:c r="Q41" s="83" t="str">
        <x:f>IF(AND(ISNUMBER($G41),Q$9=$G41),"◆","")</x:f>
        <x:v/>
      </x:c>
      <x:c r="R41" s="34" t="str">
        <x:f>IF(AND(ISNUMBER($G41),R$9=$G41),"◆","")</x:f>
        <x:v/>
      </x:c>
      <x:c r="S41" s="34" t="str">
        <x:f>IF(AND(ISNUMBER($G41),S$9=$G41),"◆","")</x:f>
        <x:v/>
      </x:c>
      <x:c r="T41" s="34" t="str">
        <x:f>IF(AND(ISNUMBER($G41),T$9=$G41),"◆","")</x:f>
        <x:v/>
      </x:c>
      <x:c r="U41" s="34" t="str">
        <x:f>IF(AND(ISNUMBER($G41),U$9=$G41),"◆","")</x:f>
        <x:v/>
      </x:c>
      <x:c r="V41" s="76" t="str">
        <x:f>IF(AND(ISNUMBER($G41),V$9=$G41),"◆","")</x:f>
        <x:v/>
      </x:c>
      <x:c r="W41" s="86" t="str">
        <x:f>IF(AND(ISNUMBER($G41),W$9=$G41),"◆","")</x:f>
        <x:v/>
      </x:c>
      <x:c r="X41" s="83" t="str">
        <x:f>IF(AND(ISNUMBER($G41),X$9=$G41),"◆","")</x:f>
        <x:v/>
      </x:c>
      <x:c r="Y41" s="34" t="str">
        <x:f>IF(AND(ISNUMBER($G41),Y$9=$G41),"◆","")</x:f>
        <x:v/>
      </x:c>
      <x:c r="Z41" s="34" t="str">
        <x:f>IF(AND(ISNUMBER($G41),Z$9=$G41),"◆","")</x:f>
        <x:v/>
      </x:c>
      <x:c r="AA41" s="34" t="str">
        <x:f>IF(AND(ISNUMBER($G41),AA$9=$G41),"◆","")</x:f>
        <x:v>◆</x:v>
      </x:c>
      <x:c r="AB41" s="34" t="str">
        <x:f>IF(AND(ISNUMBER($G41),AB$9=$G41),"◆","")</x:f>
        <x:v/>
      </x:c>
      <x:c r="AC41" s="76" t="str">
        <x:f>IF(AND(ISNUMBER($G41),AC$9=$G41),"◆","")</x:f>
        <x:v/>
      </x:c>
      <x:c r="AD41" s="76" t="str">
        <x:f>IF(AND(ISNUMBER($G41),AD$9=$G41),"◆","")</x:f>
        <x:v/>
      </x:c>
      <x:c r="AE41" s="83" t="str">
        <x:f>IF(AND(ISNUMBER($G41),AE$9=$G41),"◆","")</x:f>
        <x:v/>
      </x:c>
      <x:c r="AF41" s="34" t="str">
        <x:f>IF(AND(ISNUMBER($G41),AF$9=$G41),"◆","")</x:f>
        <x:v/>
      </x:c>
      <x:c r="AG41" s="34" t="str">
        <x:f>IF(AND(ISNUMBER($G41),AG$9=$G41),"◆","")</x:f>
        <x:v/>
      </x:c>
      <x:c r="AH41" s="34" t="str">
        <x:f>IF(AND(ISNUMBER($G41),AH$9=$G41),"◆","")</x:f>
        <x:v/>
      </x:c>
      <x:c r="AI41" s="34" t="str">
        <x:f>IF(AND(ISNUMBER($G41),AI$9=$G41),"◆","")</x:f>
        <x:v/>
      </x:c>
      <x:c r="AJ41" s="76" t="str">
        <x:f>IF(AND(ISNUMBER($G41),AJ$9=$G41),"◆","")</x:f>
        <x:v/>
      </x:c>
      <x:c r="AK41" s="76" t="str">
        <x:f>IF(AND(ISNUMBER($G41),AK$9=$G41),"◆","")</x:f>
        <x:v/>
      </x:c>
      <x:c r="AL41" s="83" t="str">
        <x:f>IF(AND(ISNUMBER($G41),AL$9=$G41),"◆","")</x:f>
        <x:v/>
      </x:c>
      <x:c r="AM41" s="4" t="str">
        <x:v>08 병행 개발·배포</x:v>
      </x:c>
      <x:c r="AN41" s="49"/>
      <x:c r="AO41" s="49"/>
      <x:c r="AP41" s="4" t="str">
        <x:v>Actions CI와 Argo CD 배포 파이프라인 연결. AWS 인프라 재생성은 별도.</x:v>
      </x:c>
      <x:c r="AQ41" s="4" t="str">
        <x:v>#8 OPEN 0/13; #12 OPEN 0/19</x:v>
      </x:c>
      <x:c r="AR41" s="4" t="n">
        <x:f>IF(OR(ISNUMBER(SEARCH(AR$9,$D41)),ISNUMBER(SEARCH(AR$9,$E41))),1*100000000+IF(ISNUMBER($F41),$F41,99999)*1000+ROW(),1000000000)</x:f>
        <x:v>1000000000.0</x:v>
      </x:c>
      <x:c r="AS41" s="4" t="n">
        <x:f>IF(OR(ISNUMBER(SEARCH(AS$9,$D41)),ISNUMBER(SEARCH(AS$9,$E41))),2*100000000+IF(ISNUMBER($F41),$F41,99999)*1000+ROW(),1000000000)</x:f>
        <x:v>1000000000.0</x:v>
      </x:c>
      <x:c r="AT41" s="4" t="n">
        <x:f>IF(OR(ISNUMBER(SEARCH(AT$9,$D41)),ISNUMBER(SEARCH(AT$9,$E41))),3*100000000+IF(ISNUMBER($F41),$F41,99999)*1000+ROW(),1000000000)</x:f>
        <x:v>1000000000.0</x:v>
      </x:c>
      <x:c r="AU41" s="4" t="n">
        <x:f>IF(OR(ISNUMBER(SEARCH(AU$9,$D41)),ISNUMBER(SEARCH(AU$9,$E41))),4*100000000+IF(ISNUMBER($F41),$F41,99999)*1000+ROW(),1000000000)</x:f>
        <x:v>1000000000.0</x:v>
      </x:c>
      <x:c r="AV41" s="4" t="n">
        <x:f>IF(OR(ISNUMBER(SEARCH(AV$9,$D41)),ISNUMBER(SEARCH(AV$9,$E41))),5*100000000+IF(ISNUMBER($F41),$F41,99999)*1000+ROW(),1000000000)</x:f>
        <x:v>546331041.0</x:v>
      </x:c>
      <x:c r="AW41" s="4" t="str">
        <x:v>https://github.com/team-blocks-lab/otter-shield/issues/8</x:v>
      </x:c>
      <x:c r="AX41" s="4" t="str">
        <x:v>#8; #12</x:v>
      </x:c>
      <x:c r="AY41" s="106" t="str">
        <x:v>이미지·배포 설정 저장소·Argo CD 연결 및 실제 요청</x:v>
      </x:c>
    </x:row>
    <x:row r="42" ht="39" customHeight="1">
      <x:c r="A42" s="66" t="str">
        <x:v>D7</x:v>
      </x:c>
      <x:c r="B42" s="67" t="str">
        <x:v>개발</x:v>
      </x:c>
      <x:c r="C42" s="31" t="str">
        <x:v>AI 자막 생성·플레이어 기능 구현</x:v>
      </x:c>
      <x:c r="D42" s="31" t="str">
        <x:v>M5 유은혜(PM)</x:v>
      </x:c>
      <x:c r="E42" s="31" t="str">
        <x:v>M3 홍은서</x:v>
      </x:c>
      <x:c r="F42" s="41" t="n">
        <x:v>46328</x:v>
      </x:c>
      <x:c r="G42" s="41" t="n">
        <x:v>46330</x:v>
      </x:c>
      <x:c r="H42" s="42" t="str">
        <x:v>미확인</x:v>
      </x:c>
      <x:c r="I42" s="31" t="str">
        <x:v>I35, D1</x:v>
      </x:c>
      <x:c r="J42" s="65" t="str">
        <x:f>HYPERLINK($AW42,"#8")</x:f>
        <x:v>#8</x:v>
      </x:c>
      <x:c r="K42" s="34" t="str">
        <x:f>IF(AND(ISNUMBER($G42),K$9=$G42),"◆","")</x:f>
        <x:v/>
      </x:c>
      <x:c r="L42" s="74" t="str">
        <x:f>IF(AND(ISNUMBER($G42),L$9=$G42),"◆","")</x:f>
        <x:v/>
      </x:c>
      <x:c r="M42" s="34" t="str">
        <x:f>IF(AND(ISNUMBER($G42),M$9=$G42),"◆","")</x:f>
        <x:v/>
      </x:c>
      <x:c r="N42" s="34" t="str">
        <x:f>IF(AND(ISNUMBER($G42),N$9=$G42),"◆","")</x:f>
        <x:v/>
      </x:c>
      <x:c r="O42" s="76" t="str">
        <x:f>IF(AND(ISNUMBER($G42),O$9=$G42),"◆","")</x:f>
        <x:v/>
      </x:c>
      <x:c r="P42" s="76" t="str">
        <x:f>IF(AND(ISNUMBER($G42),P$9=$G42),"◆","")</x:f>
        <x:v/>
      </x:c>
      <x:c r="Q42" s="83" t="str">
        <x:f>IF(AND(ISNUMBER($G42),Q$9=$G42),"◆","")</x:f>
        <x:v/>
      </x:c>
      <x:c r="R42" s="34" t="str">
        <x:f>IF(AND(ISNUMBER($G42),R$9=$G42),"◆","")</x:f>
        <x:v/>
      </x:c>
      <x:c r="S42" s="34" t="str">
        <x:f>IF(AND(ISNUMBER($G42),S$9=$G42),"◆","")</x:f>
        <x:v/>
      </x:c>
      <x:c r="T42" s="34" t="str">
        <x:f>IF(AND(ISNUMBER($G42),T$9=$G42),"◆","")</x:f>
        <x:v/>
      </x:c>
      <x:c r="U42" s="34" t="str">
        <x:f>IF(AND(ISNUMBER($G42),U$9=$G42),"◆","")</x:f>
        <x:v/>
      </x:c>
      <x:c r="V42" s="76" t="str">
        <x:f>IF(AND(ISNUMBER($G42),V$9=$G42),"◆","")</x:f>
        <x:v/>
      </x:c>
      <x:c r="W42" s="86" t="str">
        <x:f>IF(AND(ISNUMBER($G42),W$9=$G42),"◆","")</x:f>
        <x:v/>
      </x:c>
      <x:c r="X42" s="83" t="str">
        <x:f>IF(AND(ISNUMBER($G42),X$9=$G42),"◆","")</x:f>
        <x:v/>
      </x:c>
      <x:c r="Y42" s="34" t="str">
        <x:f>IF(AND(ISNUMBER($G42),Y$9=$G42),"◆","")</x:f>
        <x:v/>
      </x:c>
      <x:c r="Z42" s="34" t="str">
        <x:f>IF(AND(ISNUMBER($G42),Z$9=$G42),"◆","")</x:f>
        <x:v>◆</x:v>
      </x:c>
      <x:c r="AA42" s="34" t="str">
        <x:f>IF(AND(ISNUMBER($G42),AA$9=$G42),"◆","")</x:f>
        <x:v/>
      </x:c>
      <x:c r="AB42" s="34" t="str">
        <x:f>IF(AND(ISNUMBER($G42),AB$9=$G42),"◆","")</x:f>
        <x:v/>
      </x:c>
      <x:c r="AC42" s="76" t="str">
        <x:f>IF(AND(ISNUMBER($G42),AC$9=$G42),"◆","")</x:f>
        <x:v/>
      </x:c>
      <x:c r="AD42" s="76" t="str">
        <x:f>IF(AND(ISNUMBER($G42),AD$9=$G42),"◆","")</x:f>
        <x:v/>
      </x:c>
      <x:c r="AE42" s="83" t="str">
        <x:f>IF(AND(ISNUMBER($G42),AE$9=$G42),"◆","")</x:f>
        <x:v/>
      </x:c>
      <x:c r="AF42" s="34" t="str">
        <x:f>IF(AND(ISNUMBER($G42),AF$9=$G42),"◆","")</x:f>
        <x:v/>
      </x:c>
      <x:c r="AG42" s="34" t="str">
        <x:f>IF(AND(ISNUMBER($G42),AG$9=$G42),"◆","")</x:f>
        <x:v/>
      </x:c>
      <x:c r="AH42" s="34" t="str">
        <x:f>IF(AND(ISNUMBER($G42),AH$9=$G42),"◆","")</x:f>
        <x:v/>
      </x:c>
      <x:c r="AI42" s="34" t="str">
        <x:f>IF(AND(ISNUMBER($G42),AI$9=$G42),"◆","")</x:f>
        <x:v/>
      </x:c>
      <x:c r="AJ42" s="76" t="str">
        <x:f>IF(AND(ISNUMBER($G42),AJ$9=$G42),"◆","")</x:f>
        <x:v/>
      </x:c>
      <x:c r="AK42" s="76" t="str">
        <x:f>IF(AND(ISNUMBER($G42),AK$9=$G42),"◆","")</x:f>
        <x:v/>
      </x:c>
      <x:c r="AL42" s="83" t="str">
        <x:f>IF(AND(ISNUMBER($G42),AL$9=$G42),"◆","")</x:f>
        <x:v/>
      </x:c>
      <x:c r="AM42" s="4" t="str">
        <x:v>08 병행 개발·배포</x:v>
      </x:c>
      <x:c r="AN42" s="49"/>
      <x:c r="AO42" s="49"/>
      <x:c r="AP42" s="4" t="str">
        <x:v>11/02 S05 후, 11/03 실제 자막 파일, 11/04 웹 준비·D6.2 공동 배포.</x:v>
      </x:c>
      <x:c r="AQ42" s="4" t="str">
        <x:v>#8 OPEN 0/13</x:v>
      </x:c>
      <x:c r="AR42" s="4" t="n">
        <x:f>IF(OR(ISNUMBER(SEARCH(AR$9,$D42)),ISNUMBER(SEARCH(AR$9,$E42))),1*100000000+IF(ISNUMBER($F42),$F42,99999)*1000+ROW(),1000000000)</x:f>
        <x:v>1000000000.0</x:v>
      </x:c>
      <x:c r="AS42" s="4" t="n">
        <x:f>IF(OR(ISNUMBER(SEARCH(AS$9,$D42)),ISNUMBER(SEARCH(AS$9,$E42))),2*100000000+IF(ISNUMBER($F42),$F42,99999)*1000+ROW(),1000000000)</x:f>
        <x:v>1000000000.0</x:v>
      </x:c>
      <x:c r="AT42" s="4" t="n">
        <x:f>IF(OR(ISNUMBER(SEARCH(AT$9,$D42)),ISNUMBER(SEARCH(AT$9,$E42))),3*100000000+IF(ISNUMBER($F42),$F42,99999)*1000+ROW(),1000000000)</x:f>
        <x:v>346328042.0</x:v>
      </x:c>
      <x:c r="AU42" s="4" t="n">
        <x:f>IF(OR(ISNUMBER(SEARCH(AU$9,$D42)),ISNUMBER(SEARCH(AU$9,$E42))),4*100000000+IF(ISNUMBER($F42),$F42,99999)*1000+ROW(),1000000000)</x:f>
        <x:v>1000000000.0</x:v>
      </x:c>
      <x:c r="AV42" s="4" t="n">
        <x:f>IF(OR(ISNUMBER(SEARCH(AV$9,$D42)),ISNUMBER(SEARCH(AV$9,$E42))),5*100000000+IF(ISNUMBER($F42),$F42,99999)*1000+ROW(),1000000000)</x:f>
        <x:v>546328042.0</x:v>
      </x:c>
      <x:c r="AW42" s="4" t="str">
        <x:v>https://github.com/team-blocks-lab/otter-shield/issues/8</x:v>
      </x:c>
      <x:c r="AX42" s="4" t="str">
        <x:v>#8</x:v>
      </x:c>
      <x:c r="AY42" s="106" t="str">
        <x:v>11/02 S05 후 개발, 11/03 자막 파일, 11/04 플레이어/API 준비. 서버 배포 D6.2, 최종 재생 C8에서 확인.</x:v>
      </x:c>
    </x:row>
    <x:row r="43" ht="52" customHeight="1">
      <x:c r="A43" s="66" t="str">
        <x:v>C8</x:v>
      </x:c>
      <x:c r="B43" s="67" t="str">
        <x:v>개발</x:v>
      </x:c>
      <x:c r="C43" s="31" t="str">
        <x:v>앱·AI·CI/CD 통합 테스트</x:v>
      </x:c>
      <x:c r="D43" s="31" t="str">
        <x:v>M5 유은혜(PM)</x:v>
      </x:c>
      <x:c r="E43" s="31" t="str">
        <x:v>M1 유용수 · M2 윤서영
M3 홍은서</x:v>
      </x:c>
      <x:c r="F43" s="41" t="n">
        <x:v>46332</x:v>
      </x:c>
      <x:c r="G43" s="41" t="n">
        <x:v>46332</x:v>
      </x:c>
      <x:c r="H43" s="42" t="str">
        <x:v>미확인</x:v>
      </x:c>
      <x:c r="I43" s="31" t="str">
        <x:v>D4.1, D4.2, D4.3, D5.3, D6.2, D6.3, D7</x:v>
      </x:c>
      <x:c r="J43" s="65" t="str">
        <x:f>HYPERLINK($AW43,"#8 +1")</x:f>
        <x:v>#8 +1</x:v>
      </x:c>
      <x:c r="K43" s="34" t="str">
        <x:f>IF(AND(ISNUMBER($G43),K$9=$G43),"◆","")</x:f>
        <x:v/>
      </x:c>
      <x:c r="L43" s="74" t="str">
        <x:f>IF(AND(ISNUMBER($G43),L$9=$G43),"◆","")</x:f>
        <x:v/>
      </x:c>
      <x:c r="M43" s="34" t="str">
        <x:f>IF(AND(ISNUMBER($G43),M$9=$G43),"◆","")</x:f>
        <x:v/>
      </x:c>
      <x:c r="N43" s="34" t="str">
        <x:f>IF(AND(ISNUMBER($G43),N$9=$G43),"◆","")</x:f>
        <x:v/>
      </x:c>
      <x:c r="O43" s="76" t="str">
        <x:f>IF(AND(ISNUMBER($G43),O$9=$G43),"◆","")</x:f>
        <x:v/>
      </x:c>
      <x:c r="P43" s="76" t="str">
        <x:f>IF(AND(ISNUMBER($G43),P$9=$G43),"◆","")</x:f>
        <x:v/>
      </x:c>
      <x:c r="Q43" s="83" t="str">
        <x:f>IF(AND(ISNUMBER($G43),Q$9=$G43),"◆","")</x:f>
        <x:v/>
      </x:c>
      <x:c r="R43" s="34" t="str">
        <x:f>IF(AND(ISNUMBER($G43),R$9=$G43),"◆","")</x:f>
        <x:v/>
      </x:c>
      <x:c r="S43" s="34" t="str">
        <x:f>IF(AND(ISNUMBER($G43),S$9=$G43),"◆","")</x:f>
        <x:v/>
      </x:c>
      <x:c r="T43" s="34" t="str">
        <x:f>IF(AND(ISNUMBER($G43),T$9=$G43),"◆","")</x:f>
        <x:v/>
      </x:c>
      <x:c r="U43" s="34" t="str">
        <x:f>IF(AND(ISNUMBER($G43),U$9=$G43),"◆","")</x:f>
        <x:v/>
      </x:c>
      <x:c r="V43" s="76" t="str">
        <x:f>IF(AND(ISNUMBER($G43),V$9=$G43),"◆","")</x:f>
        <x:v/>
      </x:c>
      <x:c r="W43" s="86" t="str">
        <x:f>IF(AND(ISNUMBER($G43),W$9=$G43),"◆","")</x:f>
        <x:v/>
      </x:c>
      <x:c r="X43" s="83" t="str">
        <x:f>IF(AND(ISNUMBER($G43),X$9=$G43),"◆","")</x:f>
        <x:v/>
      </x:c>
      <x:c r="Y43" s="34" t="str">
        <x:f>IF(AND(ISNUMBER($G43),Y$9=$G43),"◆","")</x:f>
        <x:v/>
      </x:c>
      <x:c r="Z43" s="34" t="str">
        <x:f>IF(AND(ISNUMBER($G43),Z$9=$G43),"◆","")</x:f>
        <x:v/>
      </x:c>
      <x:c r="AA43" s="34" t="str">
        <x:f>IF(AND(ISNUMBER($G43),AA$9=$G43),"◆","")</x:f>
        <x:v/>
      </x:c>
      <x:c r="AB43" s="34" t="str">
        <x:f>IF(AND(ISNUMBER($G43),AB$9=$G43),"◆","")</x:f>
        <x:v>◆</x:v>
      </x:c>
      <x:c r="AC43" s="76" t="str">
        <x:f>IF(AND(ISNUMBER($G43),AC$9=$G43),"◆","")</x:f>
        <x:v/>
      </x:c>
      <x:c r="AD43" s="76" t="str">
        <x:f>IF(AND(ISNUMBER($G43),AD$9=$G43),"◆","")</x:f>
        <x:v/>
      </x:c>
      <x:c r="AE43" s="83" t="str">
        <x:f>IF(AND(ISNUMBER($G43),AE$9=$G43),"◆","")</x:f>
        <x:v/>
      </x:c>
      <x:c r="AF43" s="34" t="str">
        <x:f>IF(AND(ISNUMBER($G43),AF$9=$G43),"◆","")</x:f>
        <x:v/>
      </x:c>
      <x:c r="AG43" s="34" t="str">
        <x:f>IF(AND(ISNUMBER($G43),AG$9=$G43),"◆","")</x:f>
        <x:v/>
      </x:c>
      <x:c r="AH43" s="34" t="str">
        <x:f>IF(AND(ISNUMBER($G43),AH$9=$G43),"◆","")</x:f>
        <x:v/>
      </x:c>
      <x:c r="AI43" s="34" t="str">
        <x:f>IF(AND(ISNUMBER($G43),AI$9=$G43),"◆","")</x:f>
        <x:v/>
      </x:c>
      <x:c r="AJ43" s="76" t="str">
        <x:f>IF(AND(ISNUMBER($G43),AJ$9=$G43),"◆","")</x:f>
        <x:v/>
      </x:c>
      <x:c r="AK43" s="76" t="str">
        <x:f>IF(AND(ISNUMBER($G43),AK$9=$G43),"◆","")</x:f>
        <x:v/>
      </x:c>
      <x:c r="AL43" s="83" t="str">
        <x:f>IF(AND(ISNUMBER($G43),AL$9=$G43),"◆","")</x:f>
        <x:v/>
      </x:c>
      <x:c r="AM43" s="4" t="str">
        <x:v>08 병행 개발·배포</x:v>
      </x:c>
      <x:c r="AN43" s="49"/>
      <x:c r="AO43" s="49"/>
      <x:c r="AP43" s="4" t="str">
        <x:v>D5 최종 연동, 자막 재생·배포 추적·정상 서비스. 망 구성 통합과 결과 공유.</x:v>
      </x:c>
      <x:c r="AQ43" s="4" t="str">
        <x:v>#8 OPEN 0/13; #12 OPEN 0/19</x:v>
      </x:c>
      <x:c r="AR43" s="4" t="n">
        <x:f>IF(OR(ISNUMBER(SEARCH(AR$9,$D43)),ISNUMBER(SEARCH(AR$9,$E43))),1*100000000+IF(ISNUMBER($F43),$F43,99999)*1000+ROW(),1000000000)</x:f>
        <x:v>146332043.0</x:v>
      </x:c>
      <x:c r="AS43" s="4" t="n">
        <x:f>IF(OR(ISNUMBER(SEARCH(AS$9,$D43)),ISNUMBER(SEARCH(AS$9,$E43))),2*100000000+IF(ISNUMBER($F43),$F43,99999)*1000+ROW(),1000000000)</x:f>
        <x:v>246332043.0</x:v>
      </x:c>
      <x:c r="AT43" s="4" t="n">
        <x:f>IF(OR(ISNUMBER(SEARCH(AT$9,$D43)),ISNUMBER(SEARCH(AT$9,$E43))),3*100000000+IF(ISNUMBER($F43),$F43,99999)*1000+ROW(),1000000000)</x:f>
        <x:v>346332043.0</x:v>
      </x:c>
      <x:c r="AU43" s="4" t="n">
        <x:f>IF(OR(ISNUMBER(SEARCH(AU$9,$D43)),ISNUMBER(SEARCH(AU$9,$E43))),4*100000000+IF(ISNUMBER($F43),$F43,99999)*1000+ROW(),1000000000)</x:f>
        <x:v>1000000000.0</x:v>
      </x:c>
      <x:c r="AV43" s="4" t="n">
        <x:f>IF(OR(ISNUMBER(SEARCH(AV$9,$D43)),ISNUMBER(SEARCH(AV$9,$E43))),5*100000000+IF(ISNUMBER($F43),$F43,99999)*1000+ROW(),1000000000)</x:f>
        <x:v>546332043.0</x:v>
      </x:c>
      <x:c r="AW43" s="4" t="str">
        <x:v>https://github.com/team-blocks-lab/otter-shield/issues/8</x:v>
      </x:c>
      <x:c r="AX43" s="4" t="str">
        <x:v>#8; #12</x:v>
      </x:c>
      <x:c r="AY43" s="106" t="str">
        <x:v>정상 서비스·AI 자막·CI/CD 추적 및 오류 보완</x:v>
      </x:c>
    </x:row>
    <x:row r="44" ht="31" customHeight="1">
      <x:c r="A44" s="66" t="str">
        <x:v>D8</x:v>
      </x:c>
      <x:c r="B44" s="67" t="str">
        <x:v>개발</x:v>
      </x:c>
      <x:c r="C44" s="31" t="str">
        <x:v>앱 회귀 테스트·배포 롤백 검증</x:v>
      </x:c>
      <x:c r="D44" s="31" t="str">
        <x:v>M5 유은혜(PM)</x:v>
      </x:c>
      <x:c r="E44" s="31" t="str">
        <x:v>M1 유용수 · M2 윤서영
M3 홍은서</x:v>
      </x:c>
      <x:c r="F44" s="41" t="n">
        <x:v>46335</x:v>
      </x:c>
      <x:c r="G44" s="41" t="n">
        <x:v>46336</x:v>
      </x:c>
      <x:c r="H44" s="42" t="str">
        <x:v>미확인</x:v>
      </x:c>
      <x:c r="I44" s="31" t="str">
        <x:v>C8, I16.3, I21.3, I26.4</x:v>
      </x:c>
      <x:c r="J44" s="65" t="str">
        <x:f>HYPERLINK($AW44,"#8 +2")</x:f>
        <x:v>#8 +2</x:v>
      </x:c>
      <x:c r="K44" s="34" t="str">
        <x:f>IF(AND(ISNUMBER($G44),K$9=$G44),"◆","")</x:f>
        <x:v/>
      </x:c>
      <x:c r="L44" s="74" t="str">
        <x:f>IF(AND(ISNUMBER($G44),L$9=$G44),"◆","")</x:f>
        <x:v/>
      </x:c>
      <x:c r="M44" s="34" t="str">
        <x:f>IF(AND(ISNUMBER($G44),M$9=$G44),"◆","")</x:f>
        <x:v/>
      </x:c>
      <x:c r="N44" s="34" t="str">
        <x:f>IF(AND(ISNUMBER($G44),N$9=$G44),"◆","")</x:f>
        <x:v/>
      </x:c>
      <x:c r="O44" s="76" t="str">
        <x:f>IF(AND(ISNUMBER($G44),O$9=$G44),"◆","")</x:f>
        <x:v/>
      </x:c>
      <x:c r="P44" s="76" t="str">
        <x:f>IF(AND(ISNUMBER($G44),P$9=$G44),"◆","")</x:f>
        <x:v/>
      </x:c>
      <x:c r="Q44" s="83" t="str">
        <x:f>IF(AND(ISNUMBER($G44),Q$9=$G44),"◆","")</x:f>
        <x:v/>
      </x:c>
      <x:c r="R44" s="34" t="str">
        <x:f>IF(AND(ISNUMBER($G44),R$9=$G44),"◆","")</x:f>
        <x:v/>
      </x:c>
      <x:c r="S44" s="34" t="str">
        <x:f>IF(AND(ISNUMBER($G44),S$9=$G44),"◆","")</x:f>
        <x:v/>
      </x:c>
      <x:c r="T44" s="34" t="str">
        <x:f>IF(AND(ISNUMBER($G44),T$9=$G44),"◆","")</x:f>
        <x:v/>
      </x:c>
      <x:c r="U44" s="34" t="str">
        <x:f>IF(AND(ISNUMBER($G44),U$9=$G44),"◆","")</x:f>
        <x:v/>
      </x:c>
      <x:c r="V44" s="76" t="str">
        <x:f>IF(AND(ISNUMBER($G44),V$9=$G44),"◆","")</x:f>
        <x:v/>
      </x:c>
      <x:c r="W44" s="86" t="str">
        <x:f>IF(AND(ISNUMBER($G44),W$9=$G44),"◆","")</x:f>
        <x:v/>
      </x:c>
      <x:c r="X44" s="83" t="str">
        <x:f>IF(AND(ISNUMBER($G44),X$9=$G44),"◆","")</x:f>
        <x:v/>
      </x:c>
      <x:c r="Y44" s="34" t="str">
        <x:f>IF(AND(ISNUMBER($G44),Y$9=$G44),"◆","")</x:f>
        <x:v/>
      </x:c>
      <x:c r="Z44" s="34" t="str">
        <x:f>IF(AND(ISNUMBER($G44),Z$9=$G44),"◆","")</x:f>
        <x:v/>
      </x:c>
      <x:c r="AA44" s="34" t="str">
        <x:f>IF(AND(ISNUMBER($G44),AA$9=$G44),"◆","")</x:f>
        <x:v/>
      </x:c>
      <x:c r="AB44" s="34" t="str">
        <x:f>IF(AND(ISNUMBER($G44),AB$9=$G44),"◆","")</x:f>
        <x:v/>
      </x:c>
      <x:c r="AC44" s="76" t="str">
        <x:f>IF(AND(ISNUMBER($G44),AC$9=$G44),"◆","")</x:f>
        <x:v/>
      </x:c>
      <x:c r="AD44" s="76" t="str">
        <x:f>IF(AND(ISNUMBER($G44),AD$9=$G44),"◆","")</x:f>
        <x:v/>
      </x:c>
      <x:c r="AE44" s="83" t="str">
        <x:f>IF(AND(ISNUMBER($G44),AE$9=$G44),"◆","")</x:f>
        <x:v/>
      </x:c>
      <x:c r="AF44" s="34" t="str">
        <x:f>IF(AND(ISNUMBER($G44),AF$9=$G44),"◆","")</x:f>
        <x:v>◆</x:v>
      </x:c>
      <x:c r="AG44" s="34" t="str">
        <x:f>IF(AND(ISNUMBER($G44),AG$9=$G44),"◆","")</x:f>
        <x:v/>
      </x:c>
      <x:c r="AH44" s="34" t="str">
        <x:f>IF(AND(ISNUMBER($G44),AH$9=$G44),"◆","")</x:f>
        <x:v/>
      </x:c>
      <x:c r="AI44" s="34" t="str">
        <x:f>IF(AND(ISNUMBER($G44),AI$9=$G44),"◆","")</x:f>
        <x:v/>
      </x:c>
      <x:c r="AJ44" s="76" t="str">
        <x:f>IF(AND(ISNUMBER($G44),AJ$9=$G44),"◆","")</x:f>
        <x:v/>
      </x:c>
      <x:c r="AK44" s="76" t="str">
        <x:f>IF(AND(ISNUMBER($G44),AK$9=$G44),"◆","")</x:f>
        <x:v/>
      </x:c>
      <x:c r="AL44" s="83" t="str">
        <x:f>IF(AND(ISNUMBER($G44),AL$9=$G44),"◆","")</x:f>
        <x:v/>
      </x:c>
      <x:c r="AM44" s="4" t="str">
        <x:v>08 병행 개발·배포</x:v>
      </x:c>
      <x:c r="AN44" s="49"/>
      <x:c r="AO44" s="49"/>
      <x:c r="AP44" s="4" t="str">
        <x:v>서버 담당 기능 대조. 장애 중단(C11.2)·RDS 복원(C12.3)은 별도 시험.</x:v>
      </x:c>
      <x:c r="AQ44" s="4" t="str">
        <x:v>#8 OPEN 0/13; #11 OPEN 0/7; #12 OPEN 0/19</x:v>
      </x:c>
      <x:c r="AR44" s="4" t="n">
        <x:f>IF(OR(ISNUMBER(SEARCH(AR$9,$D44)),ISNUMBER(SEARCH(AR$9,$E44))),1*100000000+IF(ISNUMBER($F44),$F44,99999)*1000+ROW(),1000000000)</x:f>
        <x:v>146335044.0</x:v>
      </x:c>
      <x:c r="AS44" s="4" t="n">
        <x:f>IF(OR(ISNUMBER(SEARCH(AS$9,$D44)),ISNUMBER(SEARCH(AS$9,$E44))),2*100000000+IF(ISNUMBER($F44),$F44,99999)*1000+ROW(),1000000000)</x:f>
        <x:v>246335044.0</x:v>
      </x:c>
      <x:c r="AT44" s="4" t="n">
        <x:f>IF(OR(ISNUMBER(SEARCH(AT$9,$D44)),ISNUMBER(SEARCH(AT$9,$E44))),3*100000000+IF(ISNUMBER($F44),$F44,99999)*1000+ROW(),1000000000)</x:f>
        <x:v>346335044.0</x:v>
      </x:c>
      <x:c r="AU44" s="4" t="n">
        <x:f>IF(OR(ISNUMBER(SEARCH(AU$9,$D44)),ISNUMBER(SEARCH(AU$9,$E44))),4*100000000+IF(ISNUMBER($F44),$F44,99999)*1000+ROW(),1000000000)</x:f>
        <x:v>1000000000.0</x:v>
      </x:c>
      <x:c r="AV44" s="4" t="n">
        <x:f>IF(OR(ISNUMBER(SEARCH(AV$9,$D44)),ISNUMBER(SEARCH(AV$9,$E44))),5*100000000+IF(ISNUMBER($F44),$F44,99999)*1000+ROW(),1000000000)</x:f>
        <x:v>546335044.0</x:v>
      </x:c>
      <x:c r="AW44" s="4" t="str">
        <x:v>https://github.com/team-blocks-lab/otter-shield/issues/8</x:v>
      </x:c>
      <x:c r="AX44" s="4" t="str">
        <x:v>#8; #11; #12</x:v>
      </x:c>
      <x:c r="AY44" s="106" t="str">
        <x:v>개선 후 정상 기능·이전 배포 버전 복구</x:v>
      </x:c>
    </x:row>
    <x:row r="45" ht="24" customHeight="1">
      <x:c r="A45" s="56"/>
      <x:c r="B45" s="56"/>
      <x:c r="C45" s="56" t="str">
        <x:v>03 공격 재현·원인 분석</x:v>
      </x:c>
      <x:c r="D45" s="56"/>
      <x:c r="E45" s="56"/>
      <x:c r="F45" s="57"/>
      <x:c r="G45" s="57"/>
      <x:c r="H45" s="58"/>
      <x:c r="I45" s="56"/>
      <x:c r="J45" s="56"/>
      <x:c r="K45" s="58"/>
      <x:c r="L45" s="73"/>
      <x:c r="M45" s="58"/>
      <x:c r="N45" s="58"/>
      <x:c r="O45" s="58"/>
      <x:c r="P45" s="58"/>
      <x:c r="Q45" s="82"/>
      <x:c r="R45" s="58"/>
      <x:c r="S45" s="58"/>
      <x:c r="T45" s="58"/>
      <x:c r="U45" s="58"/>
      <x:c r="V45" s="58"/>
      <x:c r="W45" s="82"/>
      <x:c r="X45" s="82"/>
      <x:c r="Y45" s="58"/>
      <x:c r="Z45" s="58"/>
      <x:c r="AA45" s="58"/>
      <x:c r="AB45" s="58"/>
      <x:c r="AC45" s="58"/>
      <x:c r="AD45" s="58"/>
      <x:c r="AE45" s="82"/>
      <x:c r="AF45" s="58"/>
      <x:c r="AG45" s="58"/>
      <x:c r="AH45" s="58"/>
      <x:c r="AI45" s="58"/>
      <x:c r="AJ45" s="58"/>
      <x:c r="AK45" s="58"/>
      <x:c r="AL45" s="82"/>
      <x:c r="AM45" s="4"/>
      <x:c r="AN45" s="49"/>
      <x:c r="AO45" s="49"/>
      <x:c r="AP45" s="4"/>
      <x:c r="AQ45" s="4"/>
      <x:c r="AR45" s="4" t="n">
        <x:v>1000000000</x:v>
      </x:c>
      <x:c r="AS45" s="4" t="n">
        <x:v>1000000000</x:v>
      </x:c>
      <x:c r="AT45" s="4" t="n">
        <x:v>1000000000</x:v>
      </x:c>
      <x:c r="AU45" s="4" t="n">
        <x:v>1000000000</x:v>
      </x:c>
      <x:c r="AV45" s="4" t="n">
        <x:v>1000000000</x:v>
      </x:c>
      <x:c r="AW45" s="4"/>
      <x:c r="AX45" s="4"/>
      <x:c r="AY45" s="106"/>
    </x:row>
    <x:row r="46" ht="31" customHeight="1">
      <x:c r="A46" s="66" t="str">
        <x:v>I15</x:v>
      </x:c>
      <x:c r="B46" s="67" t="str">
        <x:v>보안·검증</x:v>
      </x:c>
      <x:c r="C46" s="31" t="str">
        <x:v>S01 공격 재현·원인 분석</x:v>
      </x:c>
      <x:c r="D46" s="31" t="str">
        <x:v>M1 유용수</x:v>
      </x:c>
      <x:c r="E46" s="31" t="str">
        <x:v>—</x:v>
      </x:c>
      <x:c r="F46" s="41" t="n">
        <x:v>46324</x:v>
      </x:c>
      <x:c r="G46" s="41" t="n">
        <x:v>46325</x:v>
      </x:c>
      <x:c r="H46" s="42" t="str">
        <x:v>미확인</x:v>
      </x:c>
      <x:c r="I46" s="31" t="str">
        <x:v>I14</x:v>
      </x:c>
      <x:c r="J46" s="65" t="str">
        <x:f>HYPERLINK($AW46,"#15")</x:f>
        <x:v>#15</x:v>
      </x:c>
      <x:c r="K46" s="34" t="str">
        <x:f>IF(AND(ISNUMBER($G46),K$9=$G46),"◆","")</x:f>
        <x:v/>
      </x:c>
      <x:c r="L46" s="74" t="str">
        <x:f>IF(AND(ISNUMBER($G46),L$9=$G46),"◆","")</x:f>
        <x:v/>
      </x:c>
      <x:c r="M46" s="34" t="str">
        <x:f>IF(AND(ISNUMBER($G46),M$9=$G46),"◆","")</x:f>
        <x:v/>
      </x:c>
      <x:c r="N46" s="34" t="str">
        <x:f>IF(AND(ISNUMBER($G46),N$9=$G46),"◆","")</x:f>
        <x:v/>
      </x:c>
      <x:c r="O46" s="76" t="str">
        <x:f>IF(AND(ISNUMBER($G46),O$9=$G46),"◆","")</x:f>
        <x:v/>
      </x:c>
      <x:c r="P46" s="76" t="str">
        <x:f>IF(AND(ISNUMBER($G46),P$9=$G46),"◆","")</x:f>
        <x:v/>
      </x:c>
      <x:c r="Q46" s="83" t="str">
        <x:f>IF(AND(ISNUMBER($G46),Q$9=$G46),"◆","")</x:f>
        <x:v/>
      </x:c>
      <x:c r="R46" s="34" t="str">
        <x:f>IF(AND(ISNUMBER($G46),R$9=$G46),"◆","")</x:f>
        <x:v/>
      </x:c>
      <x:c r="S46" s="34" t="str">
        <x:f>IF(AND(ISNUMBER($G46),S$9=$G46),"◆","")</x:f>
        <x:v/>
      </x:c>
      <x:c r="T46" s="34" t="str">
        <x:f>IF(AND(ISNUMBER($G46),T$9=$G46),"◆","")</x:f>
        <x:v/>
      </x:c>
      <x:c r="U46" s="34" t="str">
        <x:f>IF(AND(ISNUMBER($G46),U$9=$G46),"◆","")</x:f>
        <x:v>◆</x:v>
      </x:c>
      <x:c r="V46" s="76" t="str">
        <x:f>IF(AND(ISNUMBER($G46),V$9=$G46),"◆","")</x:f>
        <x:v/>
      </x:c>
      <x:c r="W46" s="86" t="str">
        <x:f>IF(AND(ISNUMBER($G46),W$9=$G46),"◆","")</x:f>
        <x:v/>
      </x:c>
      <x:c r="X46" s="83" t="str">
        <x:f>IF(AND(ISNUMBER($G46),X$9=$G46),"◆","")</x:f>
        <x:v/>
      </x:c>
      <x:c r="Y46" s="34" t="str">
        <x:f>IF(AND(ISNUMBER($G46),Y$9=$G46),"◆","")</x:f>
        <x:v/>
      </x:c>
      <x:c r="Z46" s="34" t="str">
        <x:f>IF(AND(ISNUMBER($G46),Z$9=$G46),"◆","")</x:f>
        <x:v/>
      </x:c>
      <x:c r="AA46" s="34" t="str">
        <x:f>IF(AND(ISNUMBER($G46),AA$9=$G46),"◆","")</x:f>
        <x:v/>
      </x:c>
      <x:c r="AB46" s="34" t="str">
        <x:f>IF(AND(ISNUMBER($G46),AB$9=$G46),"◆","")</x:f>
        <x:v/>
      </x:c>
      <x:c r="AC46" s="76" t="str">
        <x:f>IF(AND(ISNUMBER($G46),AC$9=$G46),"◆","")</x:f>
        <x:v/>
      </x:c>
      <x:c r="AD46" s="76" t="str">
        <x:f>IF(AND(ISNUMBER($G46),AD$9=$G46),"◆","")</x:f>
        <x:v/>
      </x:c>
      <x:c r="AE46" s="83" t="str">
        <x:f>IF(AND(ISNUMBER($G46),AE$9=$G46),"◆","")</x:f>
        <x:v/>
      </x:c>
      <x:c r="AF46" s="34" t="str">
        <x:f>IF(AND(ISNUMBER($G46),AF$9=$G46),"◆","")</x:f>
        <x:v/>
      </x:c>
      <x:c r="AG46" s="34" t="str">
        <x:f>IF(AND(ISNUMBER($G46),AG$9=$G46),"◆","")</x:f>
        <x:v/>
      </x:c>
      <x:c r="AH46" s="34" t="str">
        <x:f>IF(AND(ISNUMBER($G46),AH$9=$G46),"◆","")</x:f>
        <x:v/>
      </x:c>
      <x:c r="AI46" s="34" t="str">
        <x:f>IF(AND(ISNUMBER($G46),AI$9=$G46),"◆","")</x:f>
        <x:v/>
      </x:c>
      <x:c r="AJ46" s="76" t="str">
        <x:f>IF(AND(ISNUMBER($G46),AJ$9=$G46),"◆","")</x:f>
        <x:v/>
      </x:c>
      <x:c r="AK46" s="76" t="str">
        <x:f>IF(AND(ISNUMBER($G46),AK$9=$G46),"◆","")</x:f>
        <x:v/>
      </x:c>
      <x:c r="AL46" s="83" t="str">
        <x:f>IF(AND(ISNUMBER($G46),AL$9=$G46),"◆","")</x:f>
        <x:v/>
      </x:c>
      <x:c r="AM46" s="4" t="str">
        <x:v>03 공격 재현·원인 분석</x:v>
      </x:c>
      <x:c r="AN46" s="49"/>
      <x:c r="AO46" s="49"/>
      <x:c r="AP46" s="4" t="str">
        <x:v>S01/S02는 정상 SSH·원본 로그, S04는 정상 파일 읽기가 선행. 앱 배포·실제 DB 복원을 무관한 필수 조건으로 묶지 않음. S05는 운영 DB/RDS 제외.</x:v>
      </x:c>
      <x:c r="AQ46" s="4" t="str">
        <x:v>#15 OPEN 0/4</x:v>
      </x:c>
      <x:c r="AR46" s="4" t="n">
        <x:f>IF(OR(ISNUMBER(SEARCH(AR$9,$D46)),ISNUMBER(SEARCH(AR$9,$E46))),1*100000000+IF(ISNUMBER($F46),$F46,99999)*1000+ROW(),1000000000)</x:f>
        <x:v>146324046.0</x:v>
      </x:c>
      <x:c r="AS46" s="4" t="n">
        <x:f>IF(OR(ISNUMBER(SEARCH(AS$9,$D46)),ISNUMBER(SEARCH(AS$9,$E46))),2*100000000+IF(ISNUMBER($F46),$F46,99999)*1000+ROW(),1000000000)</x:f>
        <x:v>1000000000.0</x:v>
      </x:c>
      <x:c r="AT46" s="4" t="n">
        <x:f>IF(OR(ISNUMBER(SEARCH(AT$9,$D46)),ISNUMBER(SEARCH(AT$9,$E46))),3*100000000+IF(ISNUMBER($F46),$F46,99999)*1000+ROW(),1000000000)</x:f>
        <x:v>1000000000.0</x:v>
      </x:c>
      <x:c r="AU46" s="4" t="n">
        <x:f>IF(OR(ISNUMBER(SEARCH(AU$9,$D46)),ISNUMBER(SEARCH(AU$9,$E46))),4*100000000+IF(ISNUMBER($F46),$F46,99999)*1000+ROW(),1000000000)</x:f>
        <x:v>1000000000.0</x:v>
      </x:c>
      <x:c r="AV46" s="4" t="n">
        <x:f>IF(OR(ISNUMBER(SEARCH(AV$9,$D46)),ISNUMBER(SEARCH(AV$9,$E46))),5*100000000+IF(ISNUMBER($F46),$F46,99999)*1000+ROW(),1000000000)</x:f>
        <x:v>1000000000.0</x:v>
      </x:c>
      <x:c r="AW46" s="4" t="str">
        <x:v>https://github.com/team-blocks-lab/otter-shield/issues/15</x:v>
      </x:c>
      <x:c r="AX46" s="4" t="str">
        <x:v>#15</x:v>
      </x:c>
      <x:c r="AY46" s="106" t="str">
        <x:v>완료 후</x:v>
      </x:c>
    </x:row>
    <x:row r="47" ht="31" customHeight="1">
      <x:c r="A47" s="66" t="str">
        <x:v>I20</x:v>
      </x:c>
      <x:c r="B47" s="67" t="str">
        <x:v>보안·검증</x:v>
      </x:c>
      <x:c r="C47" s="31" t="str">
        <x:v>S02 공격 재현·원인 분석</x:v>
      </x:c>
      <x:c r="D47" s="31" t="str">
        <x:v>M2 윤서영</x:v>
      </x:c>
      <x:c r="E47" s="31" t="str">
        <x:v>M1 유용수</x:v>
      </x:c>
      <x:c r="F47" s="41" t="n">
        <x:v>46324</x:v>
      </x:c>
      <x:c r="G47" s="41" t="n">
        <x:v>46325</x:v>
      </x:c>
      <x:c r="H47" s="42" t="str">
        <x:v>미확인</x:v>
      </x:c>
      <x:c r="I47" s="31" t="str">
        <x:v>I19</x:v>
      </x:c>
      <x:c r="J47" s="65" t="str">
        <x:f>HYPERLINK($AW47,"#20")</x:f>
        <x:v>#20</x:v>
      </x:c>
      <x:c r="K47" s="34" t="str">
        <x:f>IF(AND(ISNUMBER($G47),K$9=$G47),"◆","")</x:f>
        <x:v/>
      </x:c>
      <x:c r="L47" s="74" t="str">
        <x:f>IF(AND(ISNUMBER($G47),L$9=$G47),"◆","")</x:f>
        <x:v/>
      </x:c>
      <x:c r="M47" s="34" t="str">
        <x:f>IF(AND(ISNUMBER($G47),M$9=$G47),"◆","")</x:f>
        <x:v/>
      </x:c>
      <x:c r="N47" s="34" t="str">
        <x:f>IF(AND(ISNUMBER($G47),N$9=$G47),"◆","")</x:f>
        <x:v/>
      </x:c>
      <x:c r="O47" s="76" t="str">
        <x:f>IF(AND(ISNUMBER($G47),O$9=$G47),"◆","")</x:f>
        <x:v/>
      </x:c>
      <x:c r="P47" s="76" t="str">
        <x:f>IF(AND(ISNUMBER($G47),P$9=$G47),"◆","")</x:f>
        <x:v/>
      </x:c>
      <x:c r="Q47" s="83" t="str">
        <x:f>IF(AND(ISNUMBER($G47),Q$9=$G47),"◆","")</x:f>
        <x:v/>
      </x:c>
      <x:c r="R47" s="34" t="str">
        <x:f>IF(AND(ISNUMBER($G47),R$9=$G47),"◆","")</x:f>
        <x:v/>
      </x:c>
      <x:c r="S47" s="34" t="str">
        <x:f>IF(AND(ISNUMBER($G47),S$9=$G47),"◆","")</x:f>
        <x:v/>
      </x:c>
      <x:c r="T47" s="34" t="str">
        <x:f>IF(AND(ISNUMBER($G47),T$9=$G47),"◆","")</x:f>
        <x:v/>
      </x:c>
      <x:c r="U47" s="34" t="str">
        <x:f>IF(AND(ISNUMBER($G47),U$9=$G47),"◆","")</x:f>
        <x:v>◆</x:v>
      </x:c>
      <x:c r="V47" s="76" t="str">
        <x:f>IF(AND(ISNUMBER($G47),V$9=$G47),"◆","")</x:f>
        <x:v/>
      </x:c>
      <x:c r="W47" s="86" t="str">
        <x:f>IF(AND(ISNUMBER($G47),W$9=$G47),"◆","")</x:f>
        <x:v/>
      </x:c>
      <x:c r="X47" s="83" t="str">
        <x:f>IF(AND(ISNUMBER($G47),X$9=$G47),"◆","")</x:f>
        <x:v/>
      </x:c>
      <x:c r="Y47" s="34" t="str">
        <x:f>IF(AND(ISNUMBER($G47),Y$9=$G47),"◆","")</x:f>
        <x:v/>
      </x:c>
      <x:c r="Z47" s="34" t="str">
        <x:f>IF(AND(ISNUMBER($G47),Z$9=$G47),"◆","")</x:f>
        <x:v/>
      </x:c>
      <x:c r="AA47" s="34" t="str">
        <x:f>IF(AND(ISNUMBER($G47),AA$9=$G47),"◆","")</x:f>
        <x:v/>
      </x:c>
      <x:c r="AB47" s="34" t="str">
        <x:f>IF(AND(ISNUMBER($G47),AB$9=$G47),"◆","")</x:f>
        <x:v/>
      </x:c>
      <x:c r="AC47" s="76" t="str">
        <x:f>IF(AND(ISNUMBER($G47),AC$9=$G47),"◆","")</x:f>
        <x:v/>
      </x:c>
      <x:c r="AD47" s="76" t="str">
        <x:f>IF(AND(ISNUMBER($G47),AD$9=$G47),"◆","")</x:f>
        <x:v/>
      </x:c>
      <x:c r="AE47" s="83" t="str">
        <x:f>IF(AND(ISNUMBER($G47),AE$9=$G47),"◆","")</x:f>
        <x:v/>
      </x:c>
      <x:c r="AF47" s="34" t="str">
        <x:f>IF(AND(ISNUMBER($G47),AF$9=$G47),"◆","")</x:f>
        <x:v/>
      </x:c>
      <x:c r="AG47" s="34" t="str">
        <x:f>IF(AND(ISNUMBER($G47),AG$9=$G47),"◆","")</x:f>
        <x:v/>
      </x:c>
      <x:c r="AH47" s="34" t="str">
        <x:f>IF(AND(ISNUMBER($G47),AH$9=$G47),"◆","")</x:f>
        <x:v/>
      </x:c>
      <x:c r="AI47" s="34" t="str">
        <x:f>IF(AND(ISNUMBER($G47),AI$9=$G47),"◆","")</x:f>
        <x:v/>
      </x:c>
      <x:c r="AJ47" s="76" t="str">
        <x:f>IF(AND(ISNUMBER($G47),AJ$9=$G47),"◆","")</x:f>
        <x:v/>
      </x:c>
      <x:c r="AK47" s="76" t="str">
        <x:f>IF(AND(ISNUMBER($G47),AK$9=$G47),"◆","")</x:f>
        <x:v/>
      </x:c>
      <x:c r="AL47" s="83" t="str">
        <x:f>IF(AND(ISNUMBER($G47),AL$9=$G47),"◆","")</x:f>
        <x:v/>
      </x:c>
      <x:c r="AM47" s="4" t="str">
        <x:v>03 공격 재현·원인 분석</x:v>
      </x:c>
      <x:c r="AN47" s="49"/>
      <x:c r="AO47" s="49"/>
      <x:c r="AP47" s="4" t="str">
        <x:v>S01/S02는 정상 SSH·원본 로그, S04는 정상 파일 읽기가 선행. 앱 배포·실제 DB 복원을 무관한 필수 조건으로 묶지 않음. S05는 운영 DB/RDS 제외.</x:v>
      </x:c>
      <x:c r="AQ47" s="4" t="str">
        <x:v>#20 OPEN 0/5</x:v>
      </x:c>
      <x:c r="AR47" s="4" t="n">
        <x:f>IF(OR(ISNUMBER(SEARCH(AR$9,$D47)),ISNUMBER(SEARCH(AR$9,$E47))),1*100000000+IF(ISNUMBER($F47),$F47,99999)*1000+ROW(),1000000000)</x:f>
        <x:v>146324047.0</x:v>
      </x:c>
      <x:c r="AS47" s="4" t="n">
        <x:f>IF(OR(ISNUMBER(SEARCH(AS$9,$D47)),ISNUMBER(SEARCH(AS$9,$E47))),2*100000000+IF(ISNUMBER($F47),$F47,99999)*1000+ROW(),1000000000)</x:f>
        <x:v>246324047.0</x:v>
      </x:c>
      <x:c r="AT47" s="4" t="n">
        <x:f>IF(OR(ISNUMBER(SEARCH(AT$9,$D47)),ISNUMBER(SEARCH(AT$9,$E47))),3*100000000+IF(ISNUMBER($F47),$F47,99999)*1000+ROW(),1000000000)</x:f>
        <x:v>1000000000.0</x:v>
      </x:c>
      <x:c r="AU47" s="4" t="n">
        <x:f>IF(OR(ISNUMBER(SEARCH(AU$9,$D47)),ISNUMBER(SEARCH(AU$9,$E47))),4*100000000+IF(ISNUMBER($F47),$F47,99999)*1000+ROW(),1000000000)</x:f>
        <x:v>1000000000.0</x:v>
      </x:c>
      <x:c r="AV47" s="4" t="n">
        <x:f>IF(OR(ISNUMBER(SEARCH(AV$9,$D47)),ISNUMBER(SEARCH(AV$9,$E47))),5*100000000+IF(ISNUMBER($F47),$F47,99999)*1000+ROW(),1000000000)</x:f>
        <x:v>1000000000.0</x:v>
      </x:c>
      <x:c r="AW47" s="4" t="str">
        <x:v>https://github.com/team-blocks-lab/otter-shield/issues/20</x:v>
      </x:c>
      <x:c r="AX47" s="4" t="str">
        <x:v>#20</x:v>
      </x:c>
      <x:c r="AY47" s="106" t="str">
        <x:v>완료 후</x:v>
      </x:c>
    </x:row>
    <x:row r="48" ht="31" customHeight="1">
      <x:c r="A48" s="66" t="str">
        <x:v>I25</x:v>
      </x:c>
      <x:c r="B48" s="67" t="str">
        <x:v>보안·검증</x:v>
      </x:c>
      <x:c r="C48" s="31" t="str">
        <x:v>S03 공격 재현·원인 분석</x:v>
      </x:c>
      <x:c r="D48" s="31" t="str">
        <x:v>M3 홍은서(PL)</x:v>
      </x:c>
      <x:c r="E48" s="31" t="str">
        <x:v>M1 유용수</x:v>
      </x:c>
      <x:c r="F48" s="41" t="n">
        <x:v>46328</x:v>
      </x:c>
      <x:c r="G48" s="41" t="n">
        <x:v>46328</x:v>
      </x:c>
      <x:c r="H48" s="42" t="str">
        <x:v>미확인</x:v>
      </x:c>
      <x:c r="I48" s="31" t="str">
        <x:v>I24, I14, C7, D4.3</x:v>
      </x:c>
      <x:c r="J48" s="65" t="str">
        <x:f>HYPERLINK($AW48,"#25")</x:f>
        <x:v>#25</x:v>
      </x:c>
      <x:c r="K48" s="34" t="str">
        <x:f>IF(AND(ISNUMBER($G48),K$9=$G48),"◆","")</x:f>
        <x:v/>
      </x:c>
      <x:c r="L48" s="74" t="str">
        <x:f>IF(AND(ISNUMBER($G48),L$9=$G48),"◆","")</x:f>
        <x:v/>
      </x:c>
      <x:c r="M48" s="34" t="str">
        <x:f>IF(AND(ISNUMBER($G48),M$9=$G48),"◆","")</x:f>
        <x:v/>
      </x:c>
      <x:c r="N48" s="34" t="str">
        <x:f>IF(AND(ISNUMBER($G48),N$9=$G48),"◆","")</x:f>
        <x:v/>
      </x:c>
      <x:c r="O48" s="76" t="str">
        <x:f>IF(AND(ISNUMBER($G48),O$9=$G48),"◆","")</x:f>
        <x:v/>
      </x:c>
      <x:c r="P48" s="76" t="str">
        <x:f>IF(AND(ISNUMBER($G48),P$9=$G48),"◆","")</x:f>
        <x:v/>
      </x:c>
      <x:c r="Q48" s="83" t="str">
        <x:f>IF(AND(ISNUMBER($G48),Q$9=$G48),"◆","")</x:f>
        <x:v/>
      </x:c>
      <x:c r="R48" s="34" t="str">
        <x:f>IF(AND(ISNUMBER($G48),R$9=$G48),"◆","")</x:f>
        <x:v/>
      </x:c>
      <x:c r="S48" s="34" t="str">
        <x:f>IF(AND(ISNUMBER($G48),S$9=$G48),"◆","")</x:f>
        <x:v/>
      </x:c>
      <x:c r="T48" s="34" t="str">
        <x:f>IF(AND(ISNUMBER($G48),T$9=$G48),"◆","")</x:f>
        <x:v/>
      </x:c>
      <x:c r="U48" s="34" t="str">
        <x:f>IF(AND(ISNUMBER($G48),U$9=$G48),"◆","")</x:f>
        <x:v/>
      </x:c>
      <x:c r="V48" s="76" t="str">
        <x:f>IF(AND(ISNUMBER($G48),V$9=$G48),"◆","")</x:f>
        <x:v/>
      </x:c>
      <x:c r="W48" s="86" t="str">
        <x:f>IF(AND(ISNUMBER($G48),W$9=$G48),"◆","")</x:f>
        <x:v/>
      </x:c>
      <x:c r="X48" s="83" t="str">
        <x:f>IF(AND(ISNUMBER($G48),X$9=$G48),"◆","")</x:f>
        <x:v>◆</x:v>
      </x:c>
      <x:c r="Y48" s="34" t="str">
        <x:f>IF(AND(ISNUMBER($G48),Y$9=$G48),"◆","")</x:f>
        <x:v/>
      </x:c>
      <x:c r="Z48" s="34" t="str">
        <x:f>IF(AND(ISNUMBER($G48),Z$9=$G48),"◆","")</x:f>
        <x:v/>
      </x:c>
      <x:c r="AA48" s="34" t="str">
        <x:f>IF(AND(ISNUMBER($G48),AA$9=$G48),"◆","")</x:f>
        <x:v/>
      </x:c>
      <x:c r="AB48" s="34" t="str">
        <x:f>IF(AND(ISNUMBER($G48),AB$9=$G48),"◆","")</x:f>
        <x:v/>
      </x:c>
      <x:c r="AC48" s="76" t="str">
        <x:f>IF(AND(ISNUMBER($G48),AC$9=$G48),"◆","")</x:f>
        <x:v/>
      </x:c>
      <x:c r="AD48" s="76" t="str">
        <x:f>IF(AND(ISNUMBER($G48),AD$9=$G48),"◆","")</x:f>
        <x:v/>
      </x:c>
      <x:c r="AE48" s="83" t="str">
        <x:f>IF(AND(ISNUMBER($G48),AE$9=$G48),"◆","")</x:f>
        <x:v/>
      </x:c>
      <x:c r="AF48" s="34" t="str">
        <x:f>IF(AND(ISNUMBER($G48),AF$9=$G48),"◆","")</x:f>
        <x:v/>
      </x:c>
      <x:c r="AG48" s="34" t="str">
        <x:f>IF(AND(ISNUMBER($G48),AG$9=$G48),"◆","")</x:f>
        <x:v/>
      </x:c>
      <x:c r="AH48" s="34" t="str">
        <x:f>IF(AND(ISNUMBER($G48),AH$9=$G48),"◆","")</x:f>
        <x:v/>
      </x:c>
      <x:c r="AI48" s="34" t="str">
        <x:f>IF(AND(ISNUMBER($G48),AI$9=$G48),"◆","")</x:f>
        <x:v/>
      </x:c>
      <x:c r="AJ48" s="76" t="str">
        <x:f>IF(AND(ISNUMBER($G48),AJ$9=$G48),"◆","")</x:f>
        <x:v/>
      </x:c>
      <x:c r="AK48" s="76" t="str">
        <x:f>IF(AND(ISNUMBER($G48),AK$9=$G48),"◆","")</x:f>
        <x:v/>
      </x:c>
      <x:c r="AL48" s="83" t="str">
        <x:f>IF(AND(ISNUMBER($G48),AL$9=$G48),"◆","")</x:f>
        <x:v/>
      </x:c>
      <x:c r="AM48" s="4" t="str">
        <x:v>03 공격 재현·원인 분석</x:v>
      </x:c>
      <x:c r="AN48" s="49"/>
      <x:c r="AO48" s="49"/>
      <x:c r="AP48" s="4" t="str">
        <x:v>S01/S02는 정상 SSH·원본 로그, S04는 정상 파일 읽기가 선행. 앱 배포·실제 DB 복원을 무관한 필수 조건으로 묶지 않음. S05는 운영 DB/RDS 제외.</x:v>
      </x:c>
      <x:c r="AQ48" s="4" t="str">
        <x:v>#25 OPEN 0/5</x:v>
      </x:c>
      <x:c r="AR48" s="4" t="n">
        <x:f>IF(OR(ISNUMBER(SEARCH(AR$9,$D48)),ISNUMBER(SEARCH(AR$9,$E48))),1*100000000+IF(ISNUMBER($F48),$F48,99999)*1000+ROW(),1000000000)</x:f>
        <x:v>146328048.0</x:v>
      </x:c>
      <x:c r="AS48" s="4" t="n">
        <x:f>IF(OR(ISNUMBER(SEARCH(AS$9,$D48)),ISNUMBER(SEARCH(AS$9,$E48))),2*100000000+IF(ISNUMBER($F48),$F48,99999)*1000+ROW(),1000000000)</x:f>
        <x:v>1000000000.0</x:v>
      </x:c>
      <x:c r="AT48" s="4" t="n">
        <x:f>IF(OR(ISNUMBER(SEARCH(AT$9,$D48)),ISNUMBER(SEARCH(AT$9,$E48))),3*100000000+IF(ISNUMBER($F48),$F48,99999)*1000+ROW(),1000000000)</x:f>
        <x:v>346328048.0</x:v>
      </x:c>
      <x:c r="AU48" s="4" t="n">
        <x:f>IF(OR(ISNUMBER(SEARCH(AU$9,$D48)),ISNUMBER(SEARCH(AU$9,$E48))),4*100000000+IF(ISNUMBER($F48),$F48,99999)*1000+ROW(),1000000000)</x:f>
        <x:v>1000000000.0</x:v>
      </x:c>
      <x:c r="AV48" s="4" t="n">
        <x:f>IF(OR(ISNUMBER(SEARCH(AV$9,$D48)),ISNUMBER(SEARCH(AV$9,$E48))),5*100000000+IF(ISNUMBER($F48),$F48,99999)*1000+ROW(),1000000000)</x:f>
        <x:v>1000000000.0</x:v>
      </x:c>
      <x:c r="AW48" s="4" t="str">
        <x:v>https://github.com/team-blocks-lab/otter-shield/issues/25</x:v>
      </x:c>
      <x:c r="AX48" s="4" t="str">
        <x:v>#25</x:v>
      </x:c>
      <x:c r="AY48" s="106" t="str">
        <x:v>M1 출발 관리 API 시험·원본 로그·원인 분석</x:v>
      </x:c>
    </x:row>
    <x:row r="49" ht="31" customHeight="1">
      <x:c r="A49" s="66" t="str">
        <x:v>I30</x:v>
      </x:c>
      <x:c r="B49" s="67" t="str">
        <x:v>보안·검증</x:v>
      </x:c>
      <x:c r="C49" s="31" t="str">
        <x:v>S04 공격 재현·원인 분석</x:v>
      </x:c>
      <x:c r="D49" s="31" t="str">
        <x:v>M4 박진혁</x:v>
      </x:c>
      <x:c r="E49" s="31" t="str">
        <x:v>—</x:v>
      </x:c>
      <x:c r="F49" s="41" t="n">
        <x:v>46324</x:v>
      </x:c>
      <x:c r="G49" s="41" t="n">
        <x:v>46325</x:v>
      </x:c>
      <x:c r="H49" s="42" t="str">
        <x:v>미확인</x:v>
      </x:c>
      <x:c r="I49" s="31" t="str">
        <x:v>I29</x:v>
      </x:c>
      <x:c r="J49" s="65" t="str">
        <x:f>HYPERLINK($AW49,"#30")</x:f>
        <x:v>#30</x:v>
      </x:c>
      <x:c r="K49" s="34" t="str">
        <x:f>IF(AND(ISNUMBER($G49),K$9=$G49),"◆","")</x:f>
        <x:v/>
      </x:c>
      <x:c r="L49" s="74" t="str">
        <x:f>IF(AND(ISNUMBER($G49),L$9=$G49),"◆","")</x:f>
        <x:v/>
      </x:c>
      <x:c r="M49" s="34" t="str">
        <x:f>IF(AND(ISNUMBER($G49),M$9=$G49),"◆","")</x:f>
        <x:v/>
      </x:c>
      <x:c r="N49" s="34" t="str">
        <x:f>IF(AND(ISNUMBER($G49),N$9=$G49),"◆","")</x:f>
        <x:v/>
      </x:c>
      <x:c r="O49" s="76" t="str">
        <x:f>IF(AND(ISNUMBER($G49),O$9=$G49),"◆","")</x:f>
        <x:v/>
      </x:c>
      <x:c r="P49" s="76" t="str">
        <x:f>IF(AND(ISNUMBER($G49),P$9=$G49),"◆","")</x:f>
        <x:v/>
      </x:c>
      <x:c r="Q49" s="83" t="str">
        <x:f>IF(AND(ISNUMBER($G49),Q$9=$G49),"◆","")</x:f>
        <x:v/>
      </x:c>
      <x:c r="R49" s="34" t="str">
        <x:f>IF(AND(ISNUMBER($G49),R$9=$G49),"◆","")</x:f>
        <x:v/>
      </x:c>
      <x:c r="S49" s="34" t="str">
        <x:f>IF(AND(ISNUMBER($G49),S$9=$G49),"◆","")</x:f>
        <x:v/>
      </x:c>
      <x:c r="T49" s="34" t="str">
        <x:f>IF(AND(ISNUMBER($G49),T$9=$G49),"◆","")</x:f>
        <x:v/>
      </x:c>
      <x:c r="U49" s="34" t="str">
        <x:f>IF(AND(ISNUMBER($G49),U$9=$G49),"◆","")</x:f>
        <x:v>◆</x:v>
      </x:c>
      <x:c r="V49" s="76" t="str">
        <x:f>IF(AND(ISNUMBER($G49),V$9=$G49),"◆","")</x:f>
        <x:v/>
      </x:c>
      <x:c r="W49" s="86" t="str">
        <x:f>IF(AND(ISNUMBER($G49),W$9=$G49),"◆","")</x:f>
        <x:v/>
      </x:c>
      <x:c r="X49" s="83" t="str">
        <x:f>IF(AND(ISNUMBER($G49),X$9=$G49),"◆","")</x:f>
        <x:v/>
      </x:c>
      <x:c r="Y49" s="34" t="str">
        <x:f>IF(AND(ISNUMBER($G49),Y$9=$G49),"◆","")</x:f>
        <x:v/>
      </x:c>
      <x:c r="Z49" s="34" t="str">
        <x:f>IF(AND(ISNUMBER($G49),Z$9=$G49),"◆","")</x:f>
        <x:v/>
      </x:c>
      <x:c r="AA49" s="34" t="str">
        <x:f>IF(AND(ISNUMBER($G49),AA$9=$G49),"◆","")</x:f>
        <x:v/>
      </x:c>
      <x:c r="AB49" s="34" t="str">
        <x:f>IF(AND(ISNUMBER($G49),AB$9=$G49),"◆","")</x:f>
        <x:v/>
      </x:c>
      <x:c r="AC49" s="76" t="str">
        <x:f>IF(AND(ISNUMBER($G49),AC$9=$G49),"◆","")</x:f>
        <x:v/>
      </x:c>
      <x:c r="AD49" s="76" t="str">
        <x:f>IF(AND(ISNUMBER($G49),AD$9=$G49),"◆","")</x:f>
        <x:v/>
      </x:c>
      <x:c r="AE49" s="83" t="str">
        <x:f>IF(AND(ISNUMBER($G49),AE$9=$G49),"◆","")</x:f>
        <x:v/>
      </x:c>
      <x:c r="AF49" s="34" t="str">
        <x:f>IF(AND(ISNUMBER($G49),AF$9=$G49),"◆","")</x:f>
        <x:v/>
      </x:c>
      <x:c r="AG49" s="34" t="str">
        <x:f>IF(AND(ISNUMBER($G49),AG$9=$G49),"◆","")</x:f>
        <x:v/>
      </x:c>
      <x:c r="AH49" s="34" t="str">
        <x:f>IF(AND(ISNUMBER($G49),AH$9=$G49),"◆","")</x:f>
        <x:v/>
      </x:c>
      <x:c r="AI49" s="34" t="str">
        <x:f>IF(AND(ISNUMBER($G49),AI$9=$G49),"◆","")</x:f>
        <x:v/>
      </x:c>
      <x:c r="AJ49" s="76" t="str">
        <x:f>IF(AND(ISNUMBER($G49),AJ$9=$G49),"◆","")</x:f>
        <x:v/>
      </x:c>
      <x:c r="AK49" s="76" t="str">
        <x:f>IF(AND(ISNUMBER($G49),AK$9=$G49),"◆","")</x:f>
        <x:v/>
      </x:c>
      <x:c r="AL49" s="83" t="str">
        <x:f>IF(AND(ISNUMBER($G49),AL$9=$G49),"◆","")</x:f>
        <x:v/>
      </x:c>
      <x:c r="AM49" s="4" t="str">
        <x:v>03 공격 재현·원인 분석</x:v>
      </x:c>
      <x:c r="AN49" s="49"/>
      <x:c r="AO49" s="49"/>
      <x:c r="AP49" s="4" t="str">
        <x:v>S01/S02는 정상 SSH·원본 로그, S04는 정상 파일 읽기가 선행. 앱 배포·실제 DB 복원을 무관한 필수 조건으로 묶지 않음. S05는 운영 DB/RDS 제외.</x:v>
      </x:c>
      <x:c r="AQ49" s="4" t="str">
        <x:v>#30 OPEN 0/4</x:v>
      </x:c>
      <x:c r="AR49" s="4" t="n">
        <x:f>IF(OR(ISNUMBER(SEARCH(AR$9,$D49)),ISNUMBER(SEARCH(AR$9,$E49))),1*100000000+IF(ISNUMBER($F49),$F49,99999)*1000+ROW(),1000000000)</x:f>
        <x:v>1000000000.0</x:v>
      </x:c>
      <x:c r="AS49" s="4" t="n">
        <x:f>IF(OR(ISNUMBER(SEARCH(AS$9,$D49)),ISNUMBER(SEARCH(AS$9,$E49))),2*100000000+IF(ISNUMBER($F49),$F49,99999)*1000+ROW(),1000000000)</x:f>
        <x:v>1000000000.0</x:v>
      </x:c>
      <x:c r="AT49" s="4" t="n">
        <x:f>IF(OR(ISNUMBER(SEARCH(AT$9,$D49)),ISNUMBER(SEARCH(AT$9,$E49))),3*100000000+IF(ISNUMBER($F49),$F49,99999)*1000+ROW(),1000000000)</x:f>
        <x:v>1000000000.0</x:v>
      </x:c>
      <x:c r="AU49" s="4" t="n">
        <x:f>IF(OR(ISNUMBER(SEARCH(AU$9,$D49)),ISNUMBER(SEARCH(AU$9,$E49))),4*100000000+IF(ISNUMBER($F49),$F49,99999)*1000+ROW(),1000000000)</x:f>
        <x:v>446324049.0</x:v>
      </x:c>
      <x:c r="AV49" s="4" t="n">
        <x:f>IF(OR(ISNUMBER(SEARCH(AV$9,$D49)),ISNUMBER(SEARCH(AV$9,$E49))),5*100000000+IF(ISNUMBER($F49),$F49,99999)*1000+ROW(),1000000000)</x:f>
        <x:v>1000000000.0</x:v>
      </x:c>
      <x:c r="AW49" s="4" t="str">
        <x:v>https://github.com/team-blocks-lab/otter-shield/issues/30</x:v>
      </x:c>
      <x:c r="AX49" s="4" t="str">
        <x:v>#30</x:v>
      </x:c>
      <x:c r="AY49" s="106" t="str">
        <x:v>완료 후</x:v>
      </x:c>
    </x:row>
    <x:row r="50" ht="31" customHeight="1">
      <x:c r="A50" s="66" t="str">
        <x:v>I35</x:v>
      </x:c>
      <x:c r="B50" s="67" t="str">
        <x:v>보안·검증</x:v>
      </x:c>
      <x:c r="C50" s="31" t="str">
        <x:v>S05 공격 재현·원인 분석</x:v>
      </x:c>
      <x:c r="D50" s="31" t="str">
        <x:v>M5 유은혜(PM)</x:v>
      </x:c>
      <x:c r="E50" s="31" t="str">
        <x:v>M1 유용수 · M3 홍은서</x:v>
      </x:c>
      <x:c r="F50" s="41" t="n">
        <x:v>46328</x:v>
      </x:c>
      <x:c r="G50" s="41" t="n">
        <x:v>46328</x:v>
      </x:c>
      <x:c r="H50" s="42" t="str">
        <x:v>미확인</x:v>
      </x:c>
      <x:c r="I50" s="31" t="str">
        <x:v>I34, I24, C7</x:v>
      </x:c>
      <x:c r="J50" s="65" t="str">
        <x:f>HYPERLINK($AW50,"#35")</x:f>
        <x:v>#35</x:v>
      </x:c>
      <x:c r="K50" s="34" t="str">
        <x:f>IF(AND(ISNUMBER($G50),K$9=$G50),"◆","")</x:f>
        <x:v/>
      </x:c>
      <x:c r="L50" s="74" t="str">
        <x:f>IF(AND(ISNUMBER($G50),L$9=$G50),"◆","")</x:f>
        <x:v/>
      </x:c>
      <x:c r="M50" s="34" t="str">
        <x:f>IF(AND(ISNUMBER($G50),M$9=$G50),"◆","")</x:f>
        <x:v/>
      </x:c>
      <x:c r="N50" s="34" t="str">
        <x:f>IF(AND(ISNUMBER($G50),N$9=$G50),"◆","")</x:f>
        <x:v/>
      </x:c>
      <x:c r="O50" s="76" t="str">
        <x:f>IF(AND(ISNUMBER($G50),O$9=$G50),"◆","")</x:f>
        <x:v/>
      </x:c>
      <x:c r="P50" s="76" t="str">
        <x:f>IF(AND(ISNUMBER($G50),P$9=$G50),"◆","")</x:f>
        <x:v/>
      </x:c>
      <x:c r="Q50" s="83" t="str">
        <x:f>IF(AND(ISNUMBER($G50),Q$9=$G50),"◆","")</x:f>
        <x:v/>
      </x:c>
      <x:c r="R50" s="34" t="str">
        <x:f>IF(AND(ISNUMBER($G50),R$9=$G50),"◆","")</x:f>
        <x:v/>
      </x:c>
      <x:c r="S50" s="34" t="str">
        <x:f>IF(AND(ISNUMBER($G50),S$9=$G50),"◆","")</x:f>
        <x:v/>
      </x:c>
      <x:c r="T50" s="34" t="str">
        <x:f>IF(AND(ISNUMBER($G50),T$9=$G50),"◆","")</x:f>
        <x:v/>
      </x:c>
      <x:c r="U50" s="34" t="str">
        <x:f>IF(AND(ISNUMBER($G50),U$9=$G50),"◆","")</x:f>
        <x:v/>
      </x:c>
      <x:c r="V50" s="76" t="str">
        <x:f>IF(AND(ISNUMBER($G50),V$9=$G50),"◆","")</x:f>
        <x:v/>
      </x:c>
      <x:c r="W50" s="86" t="str">
        <x:f>IF(AND(ISNUMBER($G50),W$9=$G50),"◆","")</x:f>
        <x:v/>
      </x:c>
      <x:c r="X50" s="83" t="str">
        <x:f>IF(AND(ISNUMBER($G50),X$9=$G50),"◆","")</x:f>
        <x:v>◆</x:v>
      </x:c>
      <x:c r="Y50" s="34" t="str">
        <x:f>IF(AND(ISNUMBER($G50),Y$9=$G50),"◆","")</x:f>
        <x:v/>
      </x:c>
      <x:c r="Z50" s="34" t="str">
        <x:f>IF(AND(ISNUMBER($G50),Z$9=$G50),"◆","")</x:f>
        <x:v/>
      </x:c>
      <x:c r="AA50" s="34" t="str">
        <x:f>IF(AND(ISNUMBER($G50),AA$9=$G50),"◆","")</x:f>
        <x:v/>
      </x:c>
      <x:c r="AB50" s="34" t="str">
        <x:f>IF(AND(ISNUMBER($G50),AB$9=$G50),"◆","")</x:f>
        <x:v/>
      </x:c>
      <x:c r="AC50" s="76" t="str">
        <x:f>IF(AND(ISNUMBER($G50),AC$9=$G50),"◆","")</x:f>
        <x:v/>
      </x:c>
      <x:c r="AD50" s="76" t="str">
        <x:f>IF(AND(ISNUMBER($G50),AD$9=$G50),"◆","")</x:f>
        <x:v/>
      </x:c>
      <x:c r="AE50" s="83" t="str">
        <x:f>IF(AND(ISNUMBER($G50),AE$9=$G50),"◆","")</x:f>
        <x:v/>
      </x:c>
      <x:c r="AF50" s="34" t="str">
        <x:f>IF(AND(ISNUMBER($G50),AF$9=$G50),"◆","")</x:f>
        <x:v/>
      </x:c>
      <x:c r="AG50" s="34" t="str">
        <x:f>IF(AND(ISNUMBER($G50),AG$9=$G50),"◆","")</x:f>
        <x:v/>
      </x:c>
      <x:c r="AH50" s="34" t="str">
        <x:f>IF(AND(ISNUMBER($G50),AH$9=$G50),"◆","")</x:f>
        <x:v/>
      </x:c>
      <x:c r="AI50" s="34" t="str">
        <x:f>IF(AND(ISNUMBER($G50),AI$9=$G50),"◆","")</x:f>
        <x:v/>
      </x:c>
      <x:c r="AJ50" s="76" t="str">
        <x:f>IF(AND(ISNUMBER($G50),AJ$9=$G50),"◆","")</x:f>
        <x:v/>
      </x:c>
      <x:c r="AK50" s="76" t="str">
        <x:f>IF(AND(ISNUMBER($G50),AK$9=$G50),"◆","")</x:f>
        <x:v/>
      </x:c>
      <x:c r="AL50" s="83" t="str">
        <x:f>IF(AND(ISNUMBER($G50),AL$9=$G50),"◆","")</x:f>
        <x:v/>
      </x:c>
      <x:c r="AM50" s="4" t="str">
        <x:v>03 공격 재현·원인 분석</x:v>
      </x:c>
      <x:c r="AN50" s="49"/>
      <x:c r="AO50" s="49"/>
      <x:c r="AP50" s="4" t="str">
        <x:v>S01/S02는 정상 SSH·원본 로그, S04는 정상 파일 읽기가 선행. 앱 배포·실제 DB 복원을 무관한 필수 조건으로 묶지 않음. S05는 운영 DB/RDS 제외.</x:v>
      </x:c>
      <x:c r="AQ50" s="4" t="str">
        <x:v>#35 OPEN 0/5</x:v>
      </x:c>
      <x:c r="AR50" s="4" t="n">
        <x:f>IF(OR(ISNUMBER(SEARCH(AR$9,$D50)),ISNUMBER(SEARCH(AR$9,$E50))),1*100000000+IF(ISNUMBER($F50),$F50,99999)*1000+ROW(),1000000000)</x:f>
        <x:v>146328050.0</x:v>
      </x:c>
      <x:c r="AS50" s="4" t="n">
        <x:f>IF(OR(ISNUMBER(SEARCH(AS$9,$D50)),ISNUMBER(SEARCH(AS$9,$E50))),2*100000000+IF(ISNUMBER($F50),$F50,99999)*1000+ROW(),1000000000)</x:f>
        <x:v>1000000000.0</x:v>
      </x:c>
      <x:c r="AT50" s="4" t="n">
        <x:f>IF(OR(ISNUMBER(SEARCH(AT$9,$D50)),ISNUMBER(SEARCH(AT$9,$E50))),3*100000000+IF(ISNUMBER($F50),$F50,99999)*1000+ROW(),1000000000)</x:f>
        <x:v>346328050.0</x:v>
      </x:c>
      <x:c r="AU50" s="4" t="n">
        <x:f>IF(OR(ISNUMBER(SEARCH(AU$9,$D50)),ISNUMBER(SEARCH(AU$9,$E50))),4*100000000+IF(ISNUMBER($F50),$F50,99999)*1000+ROW(),1000000000)</x:f>
        <x:v>1000000000.0</x:v>
      </x:c>
      <x:c r="AV50" s="4" t="n">
        <x:f>IF(OR(ISNUMBER(SEARCH(AV$9,$D50)),ISNUMBER(SEARCH(AV$9,$E50))),5*100000000+IF(ISNUMBER($F50),$F50,99999)*1000+ROW(),1000000000)</x:f>
        <x:v>546328050.0</x:v>
      </x:c>
      <x:c r="AW50" s="4" t="str">
        <x:v>https://github.com/team-blocks-lab/otter-shield/issues/35</x:v>
      </x:c>
      <x:c r="AX50" s="4" t="str">
        <x:v>#35</x:v>
      </x:c>
      <x:c r="AY50" s="106" t="str">
        <x:v>캐나다→VPN·M1→격리 Test DB 시험·분석</x:v>
      </x:c>
    </x:row>
    <x:row r="51" ht="31" customHeight="1">
      <x:c r="A51" s="66" t="str">
        <x:v>C11.1</x:v>
      </x:c>
      <x:c r="B51" s="67" t="str">
        <x:v>보안·검증</x:v>
      </x:c>
      <x:c r="C51" s="31" t="str">
        <x:v>앱·노드·VIP 장애 시험 준비</x:v>
      </x:c>
      <x:c r="D51" s="31" t="str">
        <x:v>M3 홍은서(PL)</x:v>
      </x:c>
      <x:c r="E51" s="31" t="str">
        <x:v>M5 유은혜</x:v>
      </x:c>
      <x:c r="F51" s="41" t="n">
        <x:v>46328</x:v>
      </x:c>
      <x:c r="G51" s="41" t="n">
        <x:v>46329</x:v>
      </x:c>
      <x:c r="H51" s="42" t="str">
        <x:v>미확인</x:v>
      </x:c>
      <x:c r="I51" s="31" t="str">
        <x:v>I24, D4.3</x:v>
      </x:c>
      <x:c r="J51" s="65" t="str">
        <x:f>HYPERLINK($AW51,"#11")</x:f>
        <x:v>#11</x:v>
      </x:c>
      <x:c r="K51" s="34" t="str">
        <x:f>""</x:f>
        <x:v/>
      </x:c>
      <x:c r="L51" s="74" t="str">
        <x:f>""</x:f>
        <x:v/>
      </x:c>
      <x:c r="M51" s="34" t="str">
        <x:f>""</x:f>
        <x:v/>
      </x:c>
      <x:c r="N51" s="34" t="str">
        <x:f>""</x:f>
        <x:v/>
      </x:c>
      <x:c r="O51" s="76" t="str">
        <x:f>""</x:f>
        <x:v/>
      </x:c>
      <x:c r="P51" s="76" t="str">
        <x:f>""</x:f>
        <x:v/>
      </x:c>
      <x:c r="Q51" s="83" t="str">
        <x:f>""</x:f>
        <x:v/>
      </x:c>
      <x:c r="R51" s="34" t="str">
        <x:f>""</x:f>
        <x:v/>
      </x:c>
      <x:c r="S51" s="34" t="str">
        <x:f>""</x:f>
        <x:v/>
      </x:c>
      <x:c r="T51" s="34" t="str">
        <x:f>""</x:f>
        <x:v/>
      </x:c>
      <x:c r="U51" s="34" t="str">
        <x:f>""</x:f>
        <x:v/>
      </x:c>
      <x:c r="V51" s="76" t="str">
        <x:f>""</x:f>
        <x:v/>
      </x:c>
      <x:c r="W51" s="86" t="str">
        <x:f>""</x:f>
        <x:v/>
      </x:c>
      <x:c r="X51" s="83" t="str">
        <x:f>""</x:f>
        <x:v/>
      </x:c>
      <x:c r="Y51" s="34" t="str">
        <x:f>""</x:f>
        <x:v/>
      </x:c>
      <x:c r="Z51" s="34" t="str">
        <x:f>""</x:f>
        <x:v/>
      </x:c>
      <x:c r="AA51" s="34" t="str">
        <x:f>""</x:f>
        <x:v/>
      </x:c>
      <x:c r="AB51" s="34" t="str">
        <x:f>""</x:f>
        <x:v/>
      </x:c>
      <x:c r="AC51" s="76" t="str">
        <x:f>""</x:f>
        <x:v/>
      </x:c>
      <x:c r="AD51" s="76" t="str">
        <x:f>""</x:f>
        <x:v/>
      </x:c>
      <x:c r="AE51" s="83" t="str">
        <x:f>""</x:f>
        <x:v/>
      </x:c>
      <x:c r="AF51" s="34" t="str">
        <x:f>""</x:f>
        <x:v/>
      </x:c>
      <x:c r="AG51" s="34" t="str">
        <x:f>""</x:f>
        <x:v/>
      </x:c>
      <x:c r="AH51" s="34" t="str">
        <x:f>""</x:f>
        <x:v/>
      </x:c>
      <x:c r="AI51" s="34" t="str">
        <x:f>""</x:f>
        <x:v/>
      </x:c>
      <x:c r="AJ51" s="76" t="str">
        <x:f>""</x:f>
        <x:v/>
      </x:c>
      <x:c r="AK51" s="76" t="str">
        <x:f>""</x:f>
        <x:v/>
      </x:c>
      <x:c r="AL51" s="83" t="str">
        <x:f>""</x:f>
        <x:v/>
      </x:c>
      <x:c r="AM51" s="4" t="str">
        <x:v>03 공격 재현·원인 분석</x:v>
      </x:c>
      <x:c r="AN51" s="49"/>
      <x:c r="AO51" s="49"/>
      <x:c r="AP51" s="4" t="str">
        <x:v>중지 대상·정상 요청·측정·복구 절차 준비. 실제 장애는 개선 후 C11.2.</x:v>
      </x:c>
      <x:c r="AQ51" s="4" t="str">
        <x:v>#11 OPEN 0/7</x:v>
      </x:c>
      <x:c r="AR51" s="4" t="n">
        <x:f>IF(OR(ISNUMBER(SEARCH(AR$9,$D51)),ISNUMBER(SEARCH(AR$9,$E51))),1*100000000+IF(ISNUMBER($F51),$F51,99999)*1000+ROW(),1000000000)</x:f>
        <x:v>1000000000.0</x:v>
      </x:c>
      <x:c r="AS51" s="4" t="n">
        <x:f>IF(OR(ISNUMBER(SEARCH(AS$9,$D51)),ISNUMBER(SEARCH(AS$9,$E51))),2*100000000+IF(ISNUMBER($F51),$F51,99999)*1000+ROW(),1000000000)</x:f>
        <x:v>1000000000.0</x:v>
      </x:c>
      <x:c r="AT51" s="4" t="n">
        <x:f>IF(OR(ISNUMBER(SEARCH(AT$9,$D51)),ISNUMBER(SEARCH(AT$9,$E51))),3*100000000+IF(ISNUMBER($F51),$F51,99999)*1000+ROW(),1000000000)</x:f>
        <x:v>346328051.0</x:v>
      </x:c>
      <x:c r="AU51" s="4" t="n">
        <x:f>IF(OR(ISNUMBER(SEARCH(AU$9,$D51)),ISNUMBER(SEARCH(AU$9,$E51))),4*100000000+IF(ISNUMBER($F51),$F51,99999)*1000+ROW(),1000000000)</x:f>
        <x:v>1000000000.0</x:v>
      </x:c>
      <x:c r="AV51" s="4" t="n">
        <x:f>IF(OR(ISNUMBER(SEARCH(AV$9,$D51)),ISNUMBER(SEARCH(AV$9,$E51))),5*100000000+IF(ISNUMBER($F51),$F51,99999)*1000+ROW(),1000000000)</x:f>
        <x:v>546328051.0</x:v>
      </x:c>
      <x:c r="AW51" s="4" t="str">
        <x:v>https://github.com/team-blocks-lab/otter-shield/issues/11</x:v>
      </x:c>
      <x:c r="AX51" s="4" t="str">
        <x:v>#11</x:v>
      </x:c>
      <x:c r="AY51" s="106" t="str">
        <x:v>기본 요청 확인 후</x:v>
      </x:c>
    </x:row>
    <x:row r="52" ht="24" customHeight="1">
      <x:c r="A52" s="56"/>
      <x:c r="B52" s="56"/>
      <x:c r="C52" s="56" t="str">
        <x:v>04 TO-BE 개선 설계</x:v>
      </x:c>
      <x:c r="D52" s="56"/>
      <x:c r="E52" s="56"/>
      <x:c r="F52" s="57"/>
      <x:c r="G52" s="57"/>
      <x:c r="H52" s="58"/>
      <x:c r="I52" s="56"/>
      <x:c r="J52" s="56"/>
      <x:c r="K52" s="58"/>
      <x:c r="L52" s="73"/>
      <x:c r="M52" s="58"/>
      <x:c r="N52" s="58"/>
      <x:c r="O52" s="58"/>
      <x:c r="P52" s="58"/>
      <x:c r="Q52" s="82"/>
      <x:c r="R52" s="58"/>
      <x:c r="S52" s="58"/>
      <x:c r="T52" s="58"/>
      <x:c r="U52" s="58"/>
      <x:c r="V52" s="58"/>
      <x:c r="W52" s="82"/>
      <x:c r="X52" s="82"/>
      <x:c r="Y52" s="58"/>
      <x:c r="Z52" s="58"/>
      <x:c r="AA52" s="58"/>
      <x:c r="AB52" s="58"/>
      <x:c r="AC52" s="58"/>
      <x:c r="AD52" s="58"/>
      <x:c r="AE52" s="82"/>
      <x:c r="AF52" s="58"/>
      <x:c r="AG52" s="58"/>
      <x:c r="AH52" s="58"/>
      <x:c r="AI52" s="58"/>
      <x:c r="AJ52" s="58"/>
      <x:c r="AK52" s="58"/>
      <x:c r="AL52" s="82"/>
      <x:c r="AM52" s="4"/>
      <x:c r="AN52" s="49"/>
      <x:c r="AO52" s="49"/>
      <x:c r="AP52" s="4"/>
      <x:c r="AQ52" s="4"/>
      <x:c r="AR52" s="4" t="n">
        <x:v>1000000000</x:v>
      </x:c>
      <x:c r="AS52" s="4" t="n">
        <x:v>1000000000</x:v>
      </x:c>
      <x:c r="AT52" s="4" t="n">
        <x:v>1000000000</x:v>
      </x:c>
      <x:c r="AU52" s="4" t="n">
        <x:v>1000000000</x:v>
      </x:c>
      <x:c r="AV52" s="4" t="n">
        <x:v>1000000000</x:v>
      </x:c>
      <x:c r="AW52" s="4"/>
      <x:c r="AX52" s="4"/>
      <x:c r="AY52" s="106"/>
    </x:row>
    <x:row r="53" ht="31" customHeight="1">
      <x:c r="A53" s="66" t="str">
        <x:v>I16.1</x:v>
      </x:c>
      <x:c r="B53" s="67" t="str">
        <x:v>보안·검증</x:v>
      </x:c>
      <x:c r="C53" s="31" t="str">
        <x:v>M1 TO-BE 토폴로지·보안 정책 설계</x:v>
      </x:c>
      <x:c r="D53" s="31" t="str">
        <x:v>M1 유용수</x:v>
      </x:c>
      <x:c r="E53" s="31" t="str">
        <x:v>M3 홍은서</x:v>
      </x:c>
      <x:c r="F53" s="41" t="n">
        <x:v>46329</x:v>
      </x:c>
      <x:c r="G53" s="41" t="n">
        <x:v>46329</x:v>
      </x:c>
      <x:c r="H53" s="42" t="str">
        <x:v>미확인</x:v>
      </x:c>
      <x:c r="I53" s="31" t="str">
        <x:v>I15</x:v>
      </x:c>
      <x:c r="J53" s="65" t="str">
        <x:f>HYPERLINK($AW53,"#16")</x:f>
        <x:v>#16</x:v>
      </x:c>
      <x:c r="K53" s="34" t="str">
        <x:f>IF(AND(ISNUMBER($G53),K$9=$G53),"◆","")</x:f>
        <x:v/>
      </x:c>
      <x:c r="L53" s="74" t="str">
        <x:f>IF(AND(ISNUMBER($G53),L$9=$G53),"◆","")</x:f>
        <x:v/>
      </x:c>
      <x:c r="M53" s="34" t="str">
        <x:f>IF(AND(ISNUMBER($G53),M$9=$G53),"◆","")</x:f>
        <x:v/>
      </x:c>
      <x:c r="N53" s="34" t="str">
        <x:f>IF(AND(ISNUMBER($G53),N$9=$G53),"◆","")</x:f>
        <x:v/>
      </x:c>
      <x:c r="O53" s="76" t="str">
        <x:f>IF(AND(ISNUMBER($G53),O$9=$G53),"◆","")</x:f>
        <x:v/>
      </x:c>
      <x:c r="P53" s="76" t="str">
        <x:f>IF(AND(ISNUMBER($G53),P$9=$G53),"◆","")</x:f>
        <x:v/>
      </x:c>
      <x:c r="Q53" s="83" t="str">
        <x:f>IF(AND(ISNUMBER($G53),Q$9=$G53),"◆","")</x:f>
        <x:v/>
      </x:c>
      <x:c r="R53" s="34" t="str">
        <x:f>IF(AND(ISNUMBER($G53),R$9=$G53),"◆","")</x:f>
        <x:v/>
      </x:c>
      <x:c r="S53" s="34" t="str">
        <x:f>IF(AND(ISNUMBER($G53),S$9=$G53),"◆","")</x:f>
        <x:v/>
      </x:c>
      <x:c r="T53" s="34" t="str">
        <x:f>IF(AND(ISNUMBER($G53),T$9=$G53),"◆","")</x:f>
        <x:v/>
      </x:c>
      <x:c r="U53" s="34" t="str">
        <x:f>IF(AND(ISNUMBER($G53),U$9=$G53),"◆","")</x:f>
        <x:v/>
      </x:c>
      <x:c r="V53" s="76" t="str">
        <x:f>IF(AND(ISNUMBER($G53),V$9=$G53),"◆","")</x:f>
        <x:v/>
      </x:c>
      <x:c r="W53" s="86" t="str">
        <x:f>IF(AND(ISNUMBER($G53),W$9=$G53),"◆","")</x:f>
        <x:v/>
      </x:c>
      <x:c r="X53" s="83" t="str">
        <x:f>IF(AND(ISNUMBER($G53),X$9=$G53),"◆","")</x:f>
        <x:v/>
      </x:c>
      <x:c r="Y53" s="34" t="str">
        <x:f>IF(AND(ISNUMBER($G53),Y$9=$G53),"◆","")</x:f>
        <x:v>◆</x:v>
      </x:c>
      <x:c r="Z53" s="34" t="str">
        <x:f>IF(AND(ISNUMBER($G53),Z$9=$G53),"◆","")</x:f>
        <x:v/>
      </x:c>
      <x:c r="AA53" s="34" t="str">
        <x:f>IF(AND(ISNUMBER($G53),AA$9=$G53),"◆","")</x:f>
        <x:v/>
      </x:c>
      <x:c r="AB53" s="34" t="str">
        <x:f>IF(AND(ISNUMBER($G53),AB$9=$G53),"◆","")</x:f>
        <x:v/>
      </x:c>
      <x:c r="AC53" s="76" t="str">
        <x:f>IF(AND(ISNUMBER($G53),AC$9=$G53),"◆","")</x:f>
        <x:v/>
      </x:c>
      <x:c r="AD53" s="76" t="str">
        <x:f>IF(AND(ISNUMBER($G53),AD$9=$G53),"◆","")</x:f>
        <x:v/>
      </x:c>
      <x:c r="AE53" s="83" t="str">
        <x:f>IF(AND(ISNUMBER($G53),AE$9=$G53),"◆","")</x:f>
        <x:v/>
      </x:c>
      <x:c r="AF53" s="34" t="str">
        <x:f>IF(AND(ISNUMBER($G53),AF$9=$G53),"◆","")</x:f>
        <x:v/>
      </x:c>
      <x:c r="AG53" s="34" t="str">
        <x:f>IF(AND(ISNUMBER($G53),AG$9=$G53),"◆","")</x:f>
        <x:v/>
      </x:c>
      <x:c r="AH53" s="34" t="str">
        <x:f>IF(AND(ISNUMBER($G53),AH$9=$G53),"◆","")</x:f>
        <x:v/>
      </x:c>
      <x:c r="AI53" s="34" t="str">
        <x:f>IF(AND(ISNUMBER($G53),AI$9=$G53),"◆","")</x:f>
        <x:v/>
      </x:c>
      <x:c r="AJ53" s="76" t="str">
        <x:f>IF(AND(ISNUMBER($G53),AJ$9=$G53),"◆","")</x:f>
        <x:v/>
      </x:c>
      <x:c r="AK53" s="76" t="str">
        <x:f>IF(AND(ISNUMBER($G53),AK$9=$G53),"◆","")</x:f>
        <x:v/>
      </x:c>
      <x:c r="AL53" s="83" t="str">
        <x:f>IF(AND(ISNUMBER($G53),AL$9=$G53),"◆","")</x:f>
        <x:v/>
      </x:c>
      <x:c r="AM53" s="4" t="str">
        <x:v>04 TO-BE 개선 설계</x:v>
      </x:c>
      <x:c r="AN53" s="49"/>
      <x:c r="AO53" s="49"/>
      <x:c r="AP53" s="4" t="str">
        <x:v>실제 분석 근거·변경표·재사용/추가·롤백 검토. 적용은 승인 뒤.</x:v>
      </x:c>
      <x:c r="AQ53" s="4" t="str">
        <x:v>#16 OPEN 0/4</x:v>
      </x:c>
      <x:c r="AR53" s="4" t="n">
        <x:f>IF(OR(ISNUMBER(SEARCH(AR$9,$D53)),ISNUMBER(SEARCH(AR$9,$E53))),1*100000000+IF(ISNUMBER($F53),$F53,99999)*1000+ROW(),1000000000)</x:f>
        <x:v>146329053.0</x:v>
      </x:c>
      <x:c r="AS53" s="4" t="n">
        <x:f>IF(OR(ISNUMBER(SEARCH(AS$9,$D53)),ISNUMBER(SEARCH(AS$9,$E53))),2*100000000+IF(ISNUMBER($F53),$F53,99999)*1000+ROW(),1000000000)</x:f>
        <x:v>1000000000.0</x:v>
      </x:c>
      <x:c r="AT53" s="4" t="n">
        <x:f>IF(OR(ISNUMBER(SEARCH(AT$9,$D53)),ISNUMBER(SEARCH(AT$9,$E53))),3*100000000+IF(ISNUMBER($F53),$F53,99999)*1000+ROW(),1000000000)</x:f>
        <x:v>346329053.0</x:v>
      </x:c>
      <x:c r="AU53" s="4" t="n">
        <x:f>IF(OR(ISNUMBER(SEARCH(AU$9,$D53)),ISNUMBER(SEARCH(AU$9,$E53))),4*100000000+IF(ISNUMBER($F53),$F53,99999)*1000+ROW(),1000000000)</x:f>
        <x:v>1000000000.0</x:v>
      </x:c>
      <x:c r="AV53" s="4" t="n">
        <x:f>IF(OR(ISNUMBER(SEARCH(AV$9,$D53)),ISNUMBER(SEARCH(AV$9,$E53))),5*100000000+IF(ISNUMBER($F53),$F53,99999)*1000+ROW(),1000000000)</x:f>
        <x:v>1000000000.0</x:v>
      </x:c>
      <x:c r="AW53" s="4" t="str">
        <x:v>https://github.com/team-blocks-lab/otter-shield/issues/16</x:v>
      </x:c>
      <x:c r="AX53" s="4" t="str">
        <x:v>#16</x:v>
      </x:c>
      <x:c r="AY53" s="106" t="str">
        <x:v>완료 후</x:v>
      </x:c>
    </x:row>
    <x:row r="54" ht="31" customHeight="1">
      <x:c r="A54" s="66" t="str">
        <x:v>I21.1</x:v>
      </x:c>
      <x:c r="B54" s="67" t="str">
        <x:v>보안·검증</x:v>
      </x:c>
      <x:c r="C54" s="31" t="str">
        <x:v>M2 TO-BE 토폴로지·보안 정책 설계</x:v>
      </x:c>
      <x:c r="D54" s="31" t="str">
        <x:v>M2 윤서영</x:v>
      </x:c>
      <x:c r="E54" s="31" t="str">
        <x:v>M1 유용수 · M3 홍은서</x:v>
      </x:c>
      <x:c r="F54" s="41" t="n">
        <x:v>46329</x:v>
      </x:c>
      <x:c r="G54" s="41" t="n">
        <x:v>46329</x:v>
      </x:c>
      <x:c r="H54" s="42" t="str">
        <x:v>미확인</x:v>
      </x:c>
      <x:c r="I54" s="31" t="str">
        <x:v>I20</x:v>
      </x:c>
      <x:c r="J54" s="65" t="str">
        <x:f>HYPERLINK($AW54,"#21 +1")</x:f>
        <x:v>#21 +1</x:v>
      </x:c>
      <x:c r="K54" s="34" t="str">
        <x:f>IF(AND(ISNUMBER($G54),K$9=$G54),"◆","")</x:f>
        <x:v/>
      </x:c>
      <x:c r="L54" s="74" t="str">
        <x:f>IF(AND(ISNUMBER($G54),L$9=$G54),"◆","")</x:f>
        <x:v/>
      </x:c>
      <x:c r="M54" s="34" t="str">
        <x:f>IF(AND(ISNUMBER($G54),M$9=$G54),"◆","")</x:f>
        <x:v/>
      </x:c>
      <x:c r="N54" s="34" t="str">
        <x:f>IF(AND(ISNUMBER($G54),N$9=$G54),"◆","")</x:f>
        <x:v/>
      </x:c>
      <x:c r="O54" s="76" t="str">
        <x:f>IF(AND(ISNUMBER($G54),O$9=$G54),"◆","")</x:f>
        <x:v/>
      </x:c>
      <x:c r="P54" s="76" t="str">
        <x:f>IF(AND(ISNUMBER($G54),P$9=$G54),"◆","")</x:f>
        <x:v/>
      </x:c>
      <x:c r="Q54" s="83" t="str">
        <x:f>IF(AND(ISNUMBER($G54),Q$9=$G54),"◆","")</x:f>
        <x:v/>
      </x:c>
      <x:c r="R54" s="34" t="str">
        <x:f>IF(AND(ISNUMBER($G54),R$9=$G54),"◆","")</x:f>
        <x:v/>
      </x:c>
      <x:c r="S54" s="34" t="str">
        <x:f>IF(AND(ISNUMBER($G54),S$9=$G54),"◆","")</x:f>
        <x:v/>
      </x:c>
      <x:c r="T54" s="34" t="str">
        <x:f>IF(AND(ISNUMBER($G54),T$9=$G54),"◆","")</x:f>
        <x:v/>
      </x:c>
      <x:c r="U54" s="34" t="str">
        <x:f>IF(AND(ISNUMBER($G54),U$9=$G54),"◆","")</x:f>
        <x:v/>
      </x:c>
      <x:c r="V54" s="76" t="str">
        <x:f>IF(AND(ISNUMBER($G54),V$9=$G54),"◆","")</x:f>
        <x:v/>
      </x:c>
      <x:c r="W54" s="86" t="str">
        <x:f>IF(AND(ISNUMBER($G54),W$9=$G54),"◆","")</x:f>
        <x:v/>
      </x:c>
      <x:c r="X54" s="83" t="str">
        <x:f>IF(AND(ISNUMBER($G54),X$9=$G54),"◆","")</x:f>
        <x:v/>
      </x:c>
      <x:c r="Y54" s="34" t="str">
        <x:f>IF(AND(ISNUMBER($G54),Y$9=$G54),"◆","")</x:f>
        <x:v>◆</x:v>
      </x:c>
      <x:c r="Z54" s="34" t="str">
        <x:f>IF(AND(ISNUMBER($G54),Z$9=$G54),"◆","")</x:f>
        <x:v/>
      </x:c>
      <x:c r="AA54" s="34" t="str">
        <x:f>IF(AND(ISNUMBER($G54),AA$9=$G54),"◆","")</x:f>
        <x:v/>
      </x:c>
      <x:c r="AB54" s="34" t="str">
        <x:f>IF(AND(ISNUMBER($G54),AB$9=$G54),"◆","")</x:f>
        <x:v/>
      </x:c>
      <x:c r="AC54" s="76" t="str">
        <x:f>IF(AND(ISNUMBER($G54),AC$9=$G54),"◆","")</x:f>
        <x:v/>
      </x:c>
      <x:c r="AD54" s="76" t="str">
        <x:f>IF(AND(ISNUMBER($G54),AD$9=$G54),"◆","")</x:f>
        <x:v/>
      </x:c>
      <x:c r="AE54" s="83" t="str">
        <x:f>IF(AND(ISNUMBER($G54),AE$9=$G54),"◆","")</x:f>
        <x:v/>
      </x:c>
      <x:c r="AF54" s="34" t="str">
        <x:f>IF(AND(ISNUMBER($G54),AF$9=$G54),"◆","")</x:f>
        <x:v/>
      </x:c>
      <x:c r="AG54" s="34" t="str">
        <x:f>IF(AND(ISNUMBER($G54),AG$9=$G54),"◆","")</x:f>
        <x:v/>
      </x:c>
      <x:c r="AH54" s="34" t="str">
        <x:f>IF(AND(ISNUMBER($G54),AH$9=$G54),"◆","")</x:f>
        <x:v/>
      </x:c>
      <x:c r="AI54" s="34" t="str">
        <x:f>IF(AND(ISNUMBER($G54),AI$9=$G54),"◆","")</x:f>
        <x:v/>
      </x:c>
      <x:c r="AJ54" s="76" t="str">
        <x:f>IF(AND(ISNUMBER($G54),AJ$9=$G54),"◆","")</x:f>
        <x:v/>
      </x:c>
      <x:c r="AK54" s="76" t="str">
        <x:f>IF(AND(ISNUMBER($G54),AK$9=$G54),"◆","")</x:f>
        <x:v/>
      </x:c>
      <x:c r="AL54" s="83" t="str">
        <x:f>IF(AND(ISNUMBER($G54),AL$9=$G54),"◆","")</x:f>
        <x:v/>
      </x:c>
      <x:c r="AM54" s="4" t="str">
        <x:v>04 TO-BE 개선 설계</x:v>
      </x:c>
      <x:c r="AN54" s="49"/>
      <x:c r="AO54" s="49"/>
      <x:c r="AP54" s="4" t="str">
        <x:v>실제 분석 근거·변경표·재사용/추가·롤백 검토. 적용은 승인 뒤.</x:v>
      </x:c>
      <x:c r="AQ54" s="4" t="str">
        <x:v>#21 OPEN 0/8; #9 OPEN 0/5</x:v>
      </x:c>
      <x:c r="AR54" s="4" t="n">
        <x:f>IF(OR(ISNUMBER(SEARCH(AR$9,$D54)),ISNUMBER(SEARCH(AR$9,$E54))),1*100000000+IF(ISNUMBER($F54),$F54,99999)*1000+ROW(),1000000000)</x:f>
        <x:v>146329054.0</x:v>
      </x:c>
      <x:c r="AS54" s="4" t="n">
        <x:f>IF(OR(ISNUMBER(SEARCH(AS$9,$D54)),ISNUMBER(SEARCH(AS$9,$E54))),2*100000000+IF(ISNUMBER($F54),$F54,99999)*1000+ROW(),1000000000)</x:f>
        <x:v>246329054.0</x:v>
      </x:c>
      <x:c r="AT54" s="4" t="n">
        <x:f>IF(OR(ISNUMBER(SEARCH(AT$9,$D54)),ISNUMBER(SEARCH(AT$9,$E54))),3*100000000+IF(ISNUMBER($F54),$F54,99999)*1000+ROW(),1000000000)</x:f>
        <x:v>346329054.0</x:v>
      </x:c>
      <x:c r="AU54" s="4" t="n">
        <x:f>IF(OR(ISNUMBER(SEARCH(AU$9,$D54)),ISNUMBER(SEARCH(AU$9,$E54))),4*100000000+IF(ISNUMBER($F54),$F54,99999)*1000+ROW(),1000000000)</x:f>
        <x:v>1000000000.0</x:v>
      </x:c>
      <x:c r="AV54" s="4" t="n">
        <x:f>IF(OR(ISNUMBER(SEARCH(AV$9,$D54)),ISNUMBER(SEARCH(AV$9,$E54))),5*100000000+IF(ISNUMBER($F54),$F54,99999)*1000+ROW(),1000000000)</x:f>
        <x:v>1000000000.0</x:v>
      </x:c>
      <x:c r="AW54" s="4" t="str">
        <x:v>https://github.com/team-blocks-lab/otter-shield/issues/21</x:v>
      </x:c>
      <x:c r="AX54" s="4" t="str">
        <x:v>#21; #9</x:v>
      </x:c>
      <x:c r="AY54" s="106" t="str">
        <x:v>완료 후</x:v>
      </x:c>
    </x:row>
    <x:row r="55" ht="31" customHeight="1">
      <x:c r="A55" s="66" t="str">
        <x:v>I26.1</x:v>
      </x:c>
      <x:c r="B55" s="67" t="str">
        <x:v>보안·검증</x:v>
      </x:c>
      <x:c r="C55" s="31" t="str">
        <x:v>M3 TO-BE 토폴로지·보안 정책 설계</x:v>
      </x:c>
      <x:c r="D55" s="31" t="str">
        <x:v>M3 홍은서(PL)</x:v>
      </x:c>
      <x:c r="E55" s="31" t="str">
        <x:v>M4 박진혁 · M5 유은혜</x:v>
      </x:c>
      <x:c r="F55" s="41" t="n">
        <x:v>46329</x:v>
      </x:c>
      <x:c r="G55" s="41" t="n">
        <x:v>46329</x:v>
      </x:c>
      <x:c r="H55" s="42" t="str">
        <x:v>미확인</x:v>
      </x:c>
      <x:c r="I55" s="31" t="str">
        <x:v>I25</x:v>
      </x:c>
      <x:c r="J55" s="65" t="str">
        <x:f>HYPERLINK($AW55,"#26")</x:f>
        <x:v>#26</x:v>
      </x:c>
      <x:c r="K55" s="34" t="str">
        <x:f>IF(AND(ISNUMBER($G55),K$9=$G55),"◆","")</x:f>
        <x:v/>
      </x:c>
      <x:c r="L55" s="74" t="str">
        <x:f>IF(AND(ISNUMBER($G55),L$9=$G55),"◆","")</x:f>
        <x:v/>
      </x:c>
      <x:c r="M55" s="34" t="str">
        <x:f>IF(AND(ISNUMBER($G55),M$9=$G55),"◆","")</x:f>
        <x:v/>
      </x:c>
      <x:c r="N55" s="34" t="str">
        <x:f>IF(AND(ISNUMBER($G55),N$9=$G55),"◆","")</x:f>
        <x:v/>
      </x:c>
      <x:c r="O55" s="76" t="str">
        <x:f>IF(AND(ISNUMBER($G55),O$9=$G55),"◆","")</x:f>
        <x:v/>
      </x:c>
      <x:c r="P55" s="76" t="str">
        <x:f>IF(AND(ISNUMBER($G55),P$9=$G55),"◆","")</x:f>
        <x:v/>
      </x:c>
      <x:c r="Q55" s="83" t="str">
        <x:f>IF(AND(ISNUMBER($G55),Q$9=$G55),"◆","")</x:f>
        <x:v/>
      </x:c>
      <x:c r="R55" s="34" t="str">
        <x:f>IF(AND(ISNUMBER($G55),R$9=$G55),"◆","")</x:f>
        <x:v/>
      </x:c>
      <x:c r="S55" s="34" t="str">
        <x:f>IF(AND(ISNUMBER($G55),S$9=$G55),"◆","")</x:f>
        <x:v/>
      </x:c>
      <x:c r="T55" s="34" t="str">
        <x:f>IF(AND(ISNUMBER($G55),T$9=$G55),"◆","")</x:f>
        <x:v/>
      </x:c>
      <x:c r="U55" s="34" t="str">
        <x:f>IF(AND(ISNUMBER($G55),U$9=$G55),"◆","")</x:f>
        <x:v/>
      </x:c>
      <x:c r="V55" s="76" t="str">
        <x:f>IF(AND(ISNUMBER($G55),V$9=$G55),"◆","")</x:f>
        <x:v/>
      </x:c>
      <x:c r="W55" s="86" t="str">
        <x:f>IF(AND(ISNUMBER($G55),W$9=$G55),"◆","")</x:f>
        <x:v/>
      </x:c>
      <x:c r="X55" s="83" t="str">
        <x:f>IF(AND(ISNUMBER($G55),X$9=$G55),"◆","")</x:f>
        <x:v/>
      </x:c>
      <x:c r="Y55" s="34" t="str">
        <x:f>IF(AND(ISNUMBER($G55),Y$9=$G55),"◆","")</x:f>
        <x:v>◆</x:v>
      </x:c>
      <x:c r="Z55" s="34" t="str">
        <x:f>IF(AND(ISNUMBER($G55),Z$9=$G55),"◆","")</x:f>
        <x:v/>
      </x:c>
      <x:c r="AA55" s="34" t="str">
        <x:f>IF(AND(ISNUMBER($G55),AA$9=$G55),"◆","")</x:f>
        <x:v/>
      </x:c>
      <x:c r="AB55" s="34" t="str">
        <x:f>IF(AND(ISNUMBER($G55),AB$9=$G55),"◆","")</x:f>
        <x:v/>
      </x:c>
      <x:c r="AC55" s="76" t="str">
        <x:f>IF(AND(ISNUMBER($G55),AC$9=$G55),"◆","")</x:f>
        <x:v/>
      </x:c>
      <x:c r="AD55" s="76" t="str">
        <x:f>IF(AND(ISNUMBER($G55),AD$9=$G55),"◆","")</x:f>
        <x:v/>
      </x:c>
      <x:c r="AE55" s="83" t="str">
        <x:f>IF(AND(ISNUMBER($G55),AE$9=$G55),"◆","")</x:f>
        <x:v/>
      </x:c>
      <x:c r="AF55" s="34" t="str">
        <x:f>IF(AND(ISNUMBER($G55),AF$9=$G55),"◆","")</x:f>
        <x:v/>
      </x:c>
      <x:c r="AG55" s="34" t="str">
        <x:f>IF(AND(ISNUMBER($G55),AG$9=$G55),"◆","")</x:f>
        <x:v/>
      </x:c>
      <x:c r="AH55" s="34" t="str">
        <x:f>IF(AND(ISNUMBER($G55),AH$9=$G55),"◆","")</x:f>
        <x:v/>
      </x:c>
      <x:c r="AI55" s="34" t="str">
        <x:f>IF(AND(ISNUMBER($G55),AI$9=$G55),"◆","")</x:f>
        <x:v/>
      </x:c>
      <x:c r="AJ55" s="76" t="str">
        <x:f>IF(AND(ISNUMBER($G55),AJ$9=$G55),"◆","")</x:f>
        <x:v/>
      </x:c>
      <x:c r="AK55" s="76" t="str">
        <x:f>IF(AND(ISNUMBER($G55),AK$9=$G55),"◆","")</x:f>
        <x:v/>
      </x:c>
      <x:c r="AL55" s="83" t="str">
        <x:f>IF(AND(ISNUMBER($G55),AL$9=$G55),"◆","")</x:f>
        <x:v/>
      </x:c>
      <x:c r="AM55" s="4" t="str">
        <x:v>04 TO-BE 개선 설계</x:v>
      </x:c>
      <x:c r="AN55" s="49"/>
      <x:c r="AO55" s="49"/>
      <x:c r="AP55" s="4" t="str">
        <x:v>실제 분석 근거·변경표·재사용/추가·롤백 검토. 적용은 승인 뒤.</x:v>
      </x:c>
      <x:c r="AQ55" s="4" t="str">
        <x:v>#26 OPEN 0/11</x:v>
      </x:c>
      <x:c r="AR55" s="4" t="n">
        <x:f>IF(OR(ISNUMBER(SEARCH(AR$9,$D55)),ISNUMBER(SEARCH(AR$9,$E55))),1*100000000+IF(ISNUMBER($F55),$F55,99999)*1000+ROW(),1000000000)</x:f>
        <x:v>1000000000.0</x:v>
      </x:c>
      <x:c r="AS55" s="4" t="n">
        <x:f>IF(OR(ISNUMBER(SEARCH(AS$9,$D55)),ISNUMBER(SEARCH(AS$9,$E55))),2*100000000+IF(ISNUMBER($F55),$F55,99999)*1000+ROW(),1000000000)</x:f>
        <x:v>1000000000.0</x:v>
      </x:c>
      <x:c r="AT55" s="4" t="n">
        <x:f>IF(OR(ISNUMBER(SEARCH(AT$9,$D55)),ISNUMBER(SEARCH(AT$9,$E55))),3*100000000+IF(ISNUMBER($F55),$F55,99999)*1000+ROW(),1000000000)</x:f>
        <x:v>346329055.0</x:v>
      </x:c>
      <x:c r="AU55" s="4" t="n">
        <x:f>IF(OR(ISNUMBER(SEARCH(AU$9,$D55)),ISNUMBER(SEARCH(AU$9,$E55))),4*100000000+IF(ISNUMBER($F55),$F55,99999)*1000+ROW(),1000000000)</x:f>
        <x:v>446329055.0</x:v>
      </x:c>
      <x:c r="AV55" s="4" t="n">
        <x:f>IF(OR(ISNUMBER(SEARCH(AV$9,$D55)),ISNUMBER(SEARCH(AV$9,$E55))),5*100000000+IF(ISNUMBER($F55),$F55,99999)*1000+ROW(),1000000000)</x:f>
        <x:v>546329055.0</x:v>
      </x:c>
      <x:c r="AW55" s="4" t="str">
        <x:v>https://github.com/team-blocks-lab/otter-shield/issues/26</x:v>
      </x:c>
      <x:c r="AX55" s="4" t="str">
        <x:v>#26</x:v>
      </x:c>
      <x:c r="AY55" s="106" t="str">
        <x:v>실제 S03 분석 후 정책·이중화·롤백 검토</x:v>
      </x:c>
    </x:row>
    <x:row r="56" ht="31" customHeight="1">
      <x:c r="A56" s="66" t="str">
        <x:v>I31.1</x:v>
      </x:c>
      <x:c r="B56" s="67" t="str">
        <x:v>보안·검증</x:v>
      </x:c>
      <x:c r="C56" s="31" t="str">
        <x:v>M4 TO-BE 토폴로지·보안 정책 설계</x:v>
      </x:c>
      <x:c r="D56" s="31" t="str">
        <x:v>M4 박진혁</x:v>
      </x:c>
      <x:c r="E56" s="31" t="str">
        <x:v>M3 홍은서</x:v>
      </x:c>
      <x:c r="F56" s="41" t="n">
        <x:v>46329</x:v>
      </x:c>
      <x:c r="G56" s="41" t="n">
        <x:v>46329</x:v>
      </x:c>
      <x:c r="H56" s="42" t="str">
        <x:v>미확인</x:v>
      </x:c>
      <x:c r="I56" s="31" t="str">
        <x:v>I30</x:v>
      </x:c>
      <x:c r="J56" s="65" t="str">
        <x:f>HYPERLINK($AW56,"#31")</x:f>
        <x:v>#31</x:v>
      </x:c>
      <x:c r="K56" s="34" t="str">
        <x:f>IF(AND(ISNUMBER($G56),K$9=$G56),"◆","")</x:f>
        <x:v/>
      </x:c>
      <x:c r="L56" s="74" t="str">
        <x:f>IF(AND(ISNUMBER($G56),L$9=$G56),"◆","")</x:f>
        <x:v/>
      </x:c>
      <x:c r="M56" s="34" t="str">
        <x:f>IF(AND(ISNUMBER($G56),M$9=$G56),"◆","")</x:f>
        <x:v/>
      </x:c>
      <x:c r="N56" s="34" t="str">
        <x:f>IF(AND(ISNUMBER($G56),N$9=$G56),"◆","")</x:f>
        <x:v/>
      </x:c>
      <x:c r="O56" s="76" t="str">
        <x:f>IF(AND(ISNUMBER($G56),O$9=$G56),"◆","")</x:f>
        <x:v/>
      </x:c>
      <x:c r="P56" s="76" t="str">
        <x:f>IF(AND(ISNUMBER($G56),P$9=$G56),"◆","")</x:f>
        <x:v/>
      </x:c>
      <x:c r="Q56" s="83" t="str">
        <x:f>IF(AND(ISNUMBER($G56),Q$9=$G56),"◆","")</x:f>
        <x:v/>
      </x:c>
      <x:c r="R56" s="34" t="str">
        <x:f>IF(AND(ISNUMBER($G56),R$9=$G56),"◆","")</x:f>
        <x:v/>
      </x:c>
      <x:c r="S56" s="34" t="str">
        <x:f>IF(AND(ISNUMBER($G56),S$9=$G56),"◆","")</x:f>
        <x:v/>
      </x:c>
      <x:c r="T56" s="34" t="str">
        <x:f>IF(AND(ISNUMBER($G56),T$9=$G56),"◆","")</x:f>
        <x:v/>
      </x:c>
      <x:c r="U56" s="34" t="str">
        <x:f>IF(AND(ISNUMBER($G56),U$9=$G56),"◆","")</x:f>
        <x:v/>
      </x:c>
      <x:c r="V56" s="76" t="str">
        <x:f>IF(AND(ISNUMBER($G56),V$9=$G56),"◆","")</x:f>
        <x:v/>
      </x:c>
      <x:c r="W56" s="86" t="str">
        <x:f>IF(AND(ISNUMBER($G56),W$9=$G56),"◆","")</x:f>
        <x:v/>
      </x:c>
      <x:c r="X56" s="83" t="str">
        <x:f>IF(AND(ISNUMBER($G56),X$9=$G56),"◆","")</x:f>
        <x:v/>
      </x:c>
      <x:c r="Y56" s="34" t="str">
        <x:f>IF(AND(ISNUMBER($G56),Y$9=$G56),"◆","")</x:f>
        <x:v>◆</x:v>
      </x:c>
      <x:c r="Z56" s="34" t="str">
        <x:f>IF(AND(ISNUMBER($G56),Z$9=$G56),"◆","")</x:f>
        <x:v/>
      </x:c>
      <x:c r="AA56" s="34" t="str">
        <x:f>IF(AND(ISNUMBER($G56),AA$9=$G56),"◆","")</x:f>
        <x:v/>
      </x:c>
      <x:c r="AB56" s="34" t="str">
        <x:f>IF(AND(ISNUMBER($G56),AB$9=$G56),"◆","")</x:f>
        <x:v/>
      </x:c>
      <x:c r="AC56" s="76" t="str">
        <x:f>IF(AND(ISNUMBER($G56),AC$9=$G56),"◆","")</x:f>
        <x:v/>
      </x:c>
      <x:c r="AD56" s="76" t="str">
        <x:f>IF(AND(ISNUMBER($G56),AD$9=$G56),"◆","")</x:f>
        <x:v/>
      </x:c>
      <x:c r="AE56" s="83" t="str">
        <x:f>IF(AND(ISNUMBER($G56),AE$9=$G56),"◆","")</x:f>
        <x:v/>
      </x:c>
      <x:c r="AF56" s="34" t="str">
        <x:f>IF(AND(ISNUMBER($G56),AF$9=$G56),"◆","")</x:f>
        <x:v/>
      </x:c>
      <x:c r="AG56" s="34" t="str">
        <x:f>IF(AND(ISNUMBER($G56),AG$9=$G56),"◆","")</x:f>
        <x:v/>
      </x:c>
      <x:c r="AH56" s="34" t="str">
        <x:f>IF(AND(ISNUMBER($G56),AH$9=$G56),"◆","")</x:f>
        <x:v/>
      </x:c>
      <x:c r="AI56" s="34" t="str">
        <x:f>IF(AND(ISNUMBER($G56),AI$9=$G56),"◆","")</x:f>
        <x:v/>
      </x:c>
      <x:c r="AJ56" s="76" t="str">
        <x:f>IF(AND(ISNUMBER($G56),AJ$9=$G56),"◆","")</x:f>
        <x:v/>
      </x:c>
      <x:c r="AK56" s="76" t="str">
        <x:f>IF(AND(ISNUMBER($G56),AK$9=$G56),"◆","")</x:f>
        <x:v/>
      </x:c>
      <x:c r="AL56" s="83" t="str">
        <x:f>IF(AND(ISNUMBER($G56),AL$9=$G56),"◆","")</x:f>
        <x:v/>
      </x:c>
      <x:c r="AM56" s="4" t="str">
        <x:v>04 TO-BE 개선 설계</x:v>
      </x:c>
      <x:c r="AN56" s="49"/>
      <x:c r="AO56" s="49"/>
      <x:c r="AP56" s="4" t="str">
        <x:v>실제 분석 근거·변경표·재사용/추가·롤백 검토. 적용은 승인 뒤.</x:v>
      </x:c>
      <x:c r="AQ56" s="4" t="str">
        <x:v>#31 OPEN 0/6</x:v>
      </x:c>
      <x:c r="AR56" s="4" t="n">
        <x:f>IF(OR(ISNUMBER(SEARCH(AR$9,$D56)),ISNUMBER(SEARCH(AR$9,$E56))),1*100000000+IF(ISNUMBER($F56),$F56,99999)*1000+ROW(),1000000000)</x:f>
        <x:v>1000000000.0</x:v>
      </x:c>
      <x:c r="AS56" s="4" t="n">
        <x:f>IF(OR(ISNUMBER(SEARCH(AS$9,$D56)),ISNUMBER(SEARCH(AS$9,$E56))),2*100000000+IF(ISNUMBER($F56),$F56,99999)*1000+ROW(),1000000000)</x:f>
        <x:v>1000000000.0</x:v>
      </x:c>
      <x:c r="AT56" s="4" t="n">
        <x:f>IF(OR(ISNUMBER(SEARCH(AT$9,$D56)),ISNUMBER(SEARCH(AT$9,$E56))),3*100000000+IF(ISNUMBER($F56),$F56,99999)*1000+ROW(),1000000000)</x:f>
        <x:v>346329056.0</x:v>
      </x:c>
      <x:c r="AU56" s="4" t="n">
        <x:f>IF(OR(ISNUMBER(SEARCH(AU$9,$D56)),ISNUMBER(SEARCH(AU$9,$E56))),4*100000000+IF(ISNUMBER($F56),$F56,99999)*1000+ROW(),1000000000)</x:f>
        <x:v>446329056.0</x:v>
      </x:c>
      <x:c r="AV56" s="4" t="n">
        <x:f>IF(OR(ISNUMBER(SEARCH(AV$9,$D56)),ISNUMBER(SEARCH(AV$9,$E56))),5*100000000+IF(ISNUMBER($F56),$F56,99999)*1000+ROW(),1000000000)</x:f>
        <x:v>1000000000.0</x:v>
      </x:c>
      <x:c r="AW56" s="4" t="str">
        <x:v>https://github.com/team-blocks-lab/otter-shield/issues/31</x:v>
      </x:c>
      <x:c r="AX56" s="4" t="str">
        <x:v>#31</x:v>
      </x:c>
      <x:c r="AY56" s="106" t="str">
        <x:v>완료 후</x:v>
      </x:c>
    </x:row>
    <x:row r="57" ht="31" customHeight="1">
      <x:c r="A57" s="66" t="str">
        <x:v>I36.1</x:v>
      </x:c>
      <x:c r="B57" s="67" t="str">
        <x:v>보안·검증</x:v>
      </x:c>
      <x:c r="C57" s="31" t="str">
        <x:v>M5 TO-BE 토폴로지·보안 정책 설계</x:v>
      </x:c>
      <x:c r="D57" s="31" t="str">
        <x:v>M5 유은혜(PM)</x:v>
      </x:c>
      <x:c r="E57" s="31" t="str">
        <x:v>M3 홍은서</x:v>
      </x:c>
      <x:c r="F57" s="41" t="n">
        <x:v>46329</x:v>
      </x:c>
      <x:c r="G57" s="41" t="n">
        <x:v>46329</x:v>
      </x:c>
      <x:c r="H57" s="42" t="str">
        <x:v>미확인</x:v>
      </x:c>
      <x:c r="I57" s="31" t="str">
        <x:v>I35</x:v>
      </x:c>
      <x:c r="J57" s="65" t="str">
        <x:f>HYPERLINK($AW57,"#36")</x:f>
        <x:v>#36</x:v>
      </x:c>
      <x:c r="K57" s="34" t="str">
        <x:f>IF(AND(ISNUMBER($G57),K$9=$G57),"◆","")</x:f>
        <x:v/>
      </x:c>
      <x:c r="L57" s="74" t="str">
        <x:f>IF(AND(ISNUMBER($G57),L$9=$G57),"◆","")</x:f>
        <x:v/>
      </x:c>
      <x:c r="M57" s="34" t="str">
        <x:f>IF(AND(ISNUMBER($G57),M$9=$G57),"◆","")</x:f>
        <x:v/>
      </x:c>
      <x:c r="N57" s="34" t="str">
        <x:f>IF(AND(ISNUMBER($G57),N$9=$G57),"◆","")</x:f>
        <x:v/>
      </x:c>
      <x:c r="O57" s="76" t="str">
        <x:f>IF(AND(ISNUMBER($G57),O$9=$G57),"◆","")</x:f>
        <x:v/>
      </x:c>
      <x:c r="P57" s="76" t="str">
        <x:f>IF(AND(ISNUMBER($G57),P$9=$G57),"◆","")</x:f>
        <x:v/>
      </x:c>
      <x:c r="Q57" s="83" t="str">
        <x:f>IF(AND(ISNUMBER($G57),Q$9=$G57),"◆","")</x:f>
        <x:v/>
      </x:c>
      <x:c r="R57" s="34" t="str">
        <x:f>IF(AND(ISNUMBER($G57),R$9=$G57),"◆","")</x:f>
        <x:v/>
      </x:c>
      <x:c r="S57" s="34" t="str">
        <x:f>IF(AND(ISNUMBER($G57),S$9=$G57),"◆","")</x:f>
        <x:v/>
      </x:c>
      <x:c r="T57" s="34" t="str">
        <x:f>IF(AND(ISNUMBER($G57),T$9=$G57),"◆","")</x:f>
        <x:v/>
      </x:c>
      <x:c r="U57" s="34" t="str">
        <x:f>IF(AND(ISNUMBER($G57),U$9=$G57),"◆","")</x:f>
        <x:v/>
      </x:c>
      <x:c r="V57" s="76" t="str">
        <x:f>IF(AND(ISNUMBER($G57),V$9=$G57),"◆","")</x:f>
        <x:v/>
      </x:c>
      <x:c r="W57" s="86" t="str">
        <x:f>IF(AND(ISNUMBER($G57),W$9=$G57),"◆","")</x:f>
        <x:v/>
      </x:c>
      <x:c r="X57" s="83" t="str">
        <x:f>IF(AND(ISNUMBER($G57),X$9=$G57),"◆","")</x:f>
        <x:v/>
      </x:c>
      <x:c r="Y57" s="34" t="str">
        <x:f>IF(AND(ISNUMBER($G57),Y$9=$G57),"◆","")</x:f>
        <x:v>◆</x:v>
      </x:c>
      <x:c r="Z57" s="34" t="str">
        <x:f>IF(AND(ISNUMBER($G57),Z$9=$G57),"◆","")</x:f>
        <x:v/>
      </x:c>
      <x:c r="AA57" s="34" t="str">
        <x:f>IF(AND(ISNUMBER($G57),AA$9=$G57),"◆","")</x:f>
        <x:v/>
      </x:c>
      <x:c r="AB57" s="34" t="str">
        <x:f>IF(AND(ISNUMBER($G57),AB$9=$G57),"◆","")</x:f>
        <x:v/>
      </x:c>
      <x:c r="AC57" s="76" t="str">
        <x:f>IF(AND(ISNUMBER($G57),AC$9=$G57),"◆","")</x:f>
        <x:v/>
      </x:c>
      <x:c r="AD57" s="76" t="str">
        <x:f>IF(AND(ISNUMBER($G57),AD$9=$G57),"◆","")</x:f>
        <x:v/>
      </x:c>
      <x:c r="AE57" s="83" t="str">
        <x:f>IF(AND(ISNUMBER($G57),AE$9=$G57),"◆","")</x:f>
        <x:v/>
      </x:c>
      <x:c r="AF57" s="34" t="str">
        <x:f>IF(AND(ISNUMBER($G57),AF$9=$G57),"◆","")</x:f>
        <x:v/>
      </x:c>
      <x:c r="AG57" s="34" t="str">
        <x:f>IF(AND(ISNUMBER($G57),AG$9=$G57),"◆","")</x:f>
        <x:v/>
      </x:c>
      <x:c r="AH57" s="34" t="str">
        <x:f>IF(AND(ISNUMBER($G57),AH$9=$G57),"◆","")</x:f>
        <x:v/>
      </x:c>
      <x:c r="AI57" s="34" t="str">
        <x:f>IF(AND(ISNUMBER($G57),AI$9=$G57),"◆","")</x:f>
        <x:v/>
      </x:c>
      <x:c r="AJ57" s="76" t="str">
        <x:f>IF(AND(ISNUMBER($G57),AJ$9=$G57),"◆","")</x:f>
        <x:v/>
      </x:c>
      <x:c r="AK57" s="76" t="str">
        <x:f>IF(AND(ISNUMBER($G57),AK$9=$G57),"◆","")</x:f>
        <x:v/>
      </x:c>
      <x:c r="AL57" s="83" t="str">
        <x:f>IF(AND(ISNUMBER($G57),AL$9=$G57),"◆","")</x:f>
        <x:v/>
      </x:c>
      <x:c r="AM57" s="4" t="str">
        <x:v>04 TO-BE 개선 설계</x:v>
      </x:c>
      <x:c r="AN57" s="49"/>
      <x:c r="AO57" s="49"/>
      <x:c r="AP57" s="4" t="str">
        <x:v>실제 분석 근거·변경표·재사용/추가·롤백 검토. 적용은 승인 뒤.</x:v>
      </x:c>
      <x:c r="AQ57" s="4" t="str">
        <x:v>#36 OPEN 0/8</x:v>
      </x:c>
      <x:c r="AR57" s="4" t="n">
        <x:f>IF(OR(ISNUMBER(SEARCH(AR$9,$D57)),ISNUMBER(SEARCH(AR$9,$E57))),1*100000000+IF(ISNUMBER($F57),$F57,99999)*1000+ROW(),1000000000)</x:f>
        <x:v>1000000000.0</x:v>
      </x:c>
      <x:c r="AS57" s="4" t="n">
        <x:f>IF(OR(ISNUMBER(SEARCH(AS$9,$D57)),ISNUMBER(SEARCH(AS$9,$E57))),2*100000000+IF(ISNUMBER($F57),$F57,99999)*1000+ROW(),1000000000)</x:f>
        <x:v>1000000000.0</x:v>
      </x:c>
      <x:c r="AT57" s="4" t="n">
        <x:f>IF(OR(ISNUMBER(SEARCH(AT$9,$D57)),ISNUMBER(SEARCH(AT$9,$E57))),3*100000000+IF(ISNUMBER($F57),$F57,99999)*1000+ROW(),1000000000)</x:f>
        <x:v>346329057.0</x:v>
      </x:c>
      <x:c r="AU57" s="4" t="n">
        <x:f>IF(OR(ISNUMBER(SEARCH(AU$9,$D57)),ISNUMBER(SEARCH(AU$9,$E57))),4*100000000+IF(ISNUMBER($F57),$F57,99999)*1000+ROW(),1000000000)</x:f>
        <x:v>1000000000.0</x:v>
      </x:c>
      <x:c r="AV57" s="4" t="n">
        <x:f>IF(OR(ISNUMBER(SEARCH(AV$9,$D57)),ISNUMBER(SEARCH(AV$9,$E57))),5*100000000+IF(ISNUMBER($F57),$F57,99999)*1000+ROW(),1000000000)</x:f>
        <x:v>546329057.0</x:v>
      </x:c>
      <x:c r="AW57" s="4" t="str">
        <x:v>https://github.com/team-blocks-lab/otter-shield/issues/36</x:v>
      </x:c>
      <x:c r="AX57" s="4" t="str">
        <x:v>#36</x:v>
      </x:c>
      <x:c r="AY57" s="106" t="str">
        <x:v>완료 후</x:v>
      </x:c>
    </x:row>
    <x:row r="58" ht="24" customHeight="1">
      <x:c r="A58" s="56"/>
      <x:c r="B58" s="56"/>
      <x:c r="C58" s="56" t="str">
        <x:v>05 개선 적용·통합</x:v>
      </x:c>
      <x:c r="D58" s="56"/>
      <x:c r="E58" s="56"/>
      <x:c r="F58" s="57"/>
      <x:c r="G58" s="57"/>
      <x:c r="H58" s="58"/>
      <x:c r="I58" s="56"/>
      <x:c r="J58" s="56"/>
      <x:c r="K58" s="58"/>
      <x:c r="L58" s="73"/>
      <x:c r="M58" s="58"/>
      <x:c r="N58" s="58"/>
      <x:c r="O58" s="58"/>
      <x:c r="P58" s="58"/>
      <x:c r="Q58" s="82"/>
      <x:c r="R58" s="58"/>
      <x:c r="S58" s="58"/>
      <x:c r="T58" s="58"/>
      <x:c r="U58" s="58"/>
      <x:c r="V58" s="58"/>
      <x:c r="W58" s="82"/>
      <x:c r="X58" s="82"/>
      <x:c r="Y58" s="58"/>
      <x:c r="Z58" s="58"/>
      <x:c r="AA58" s="58"/>
      <x:c r="AB58" s="58"/>
      <x:c r="AC58" s="58"/>
      <x:c r="AD58" s="58"/>
      <x:c r="AE58" s="82"/>
      <x:c r="AF58" s="58"/>
      <x:c r="AG58" s="58"/>
      <x:c r="AH58" s="58"/>
      <x:c r="AI58" s="58"/>
      <x:c r="AJ58" s="58"/>
      <x:c r="AK58" s="58"/>
      <x:c r="AL58" s="82"/>
      <x:c r="AM58" s="4"/>
      <x:c r="AN58" s="49"/>
      <x:c r="AO58" s="49"/>
      <x:c r="AP58" s="4"/>
      <x:c r="AQ58" s="4"/>
      <x:c r="AR58" s="4" t="n">
        <x:v>1000000000</x:v>
      </x:c>
      <x:c r="AS58" s="4" t="n">
        <x:v>1000000000</x:v>
      </x:c>
      <x:c r="AT58" s="4" t="n">
        <x:v>1000000000</x:v>
      </x:c>
      <x:c r="AU58" s="4" t="n">
        <x:v>1000000000</x:v>
      </x:c>
      <x:c r="AV58" s="4" t="n">
        <x:v>1000000000</x:v>
      </x:c>
      <x:c r="AW58" s="4"/>
      <x:c r="AX58" s="4"/>
      <x:c r="AY58" s="106"/>
    </x:row>
    <x:row r="59" ht="31" customHeight="1">
      <x:c r="A59" s="66" t="str">
        <x:v>I16.2</x:v>
      </x:c>
      <x:c r="B59" s="67" t="str">
        <x:v>보안·검증</x:v>
      </x:c>
      <x:c r="C59" s="31" t="str">
        <x:v>직원망 SSH 차단·관리망 접근 허용</x:v>
      </x:c>
      <x:c r="D59" s="31" t="str">
        <x:v>M1 유용수</x:v>
      </x:c>
      <x:c r="E59" s="31" t="str">
        <x:v>—</x:v>
      </x:c>
      <x:c r="F59" s="41" t="n">
        <x:v>46330</x:v>
      </x:c>
      <x:c r="G59" s="41" t="n">
        <x:v>46331</x:v>
      </x:c>
      <x:c r="H59" s="42" t="str">
        <x:v>미확인</x:v>
      </x:c>
      <x:c r="I59" s="31" t="str">
        <x:v>I16.1</x:v>
      </x:c>
      <x:c r="J59" s="65" t="str">
        <x:f>HYPERLINK($AW59,"#16")</x:f>
        <x:v>#16</x:v>
      </x:c>
      <x:c r="K59" s="34" t="str">
        <x:f>""</x:f>
        <x:v/>
      </x:c>
      <x:c r="L59" s="74" t="str">
        <x:f>""</x:f>
        <x:v/>
      </x:c>
      <x:c r="M59" s="34" t="str">
        <x:f>""</x:f>
        <x:v/>
      </x:c>
      <x:c r="N59" s="34" t="str">
        <x:f>""</x:f>
        <x:v/>
      </x:c>
      <x:c r="O59" s="76" t="str">
        <x:f>""</x:f>
        <x:v/>
      </x:c>
      <x:c r="P59" s="76" t="str">
        <x:f>""</x:f>
        <x:v/>
      </x:c>
      <x:c r="Q59" s="83" t="str">
        <x:f>""</x:f>
        <x:v/>
      </x:c>
      <x:c r="R59" s="34" t="str">
        <x:f>""</x:f>
        <x:v/>
      </x:c>
      <x:c r="S59" s="34" t="str">
        <x:f>""</x:f>
        <x:v/>
      </x:c>
      <x:c r="T59" s="34" t="str">
        <x:f>""</x:f>
        <x:v/>
      </x:c>
      <x:c r="U59" s="34" t="str">
        <x:f>""</x:f>
        <x:v/>
      </x:c>
      <x:c r="V59" s="76" t="str">
        <x:f>""</x:f>
        <x:v/>
      </x:c>
      <x:c r="W59" s="86" t="str">
        <x:f>""</x:f>
        <x:v/>
      </x:c>
      <x:c r="X59" s="83" t="str">
        <x:f>""</x:f>
        <x:v/>
      </x:c>
      <x:c r="Y59" s="34" t="str">
        <x:f>""</x:f>
        <x:v/>
      </x:c>
      <x:c r="Z59" s="34" t="str">
        <x:f>""</x:f>
        <x:v/>
      </x:c>
      <x:c r="AA59" s="34" t="str">
        <x:f>""</x:f>
        <x:v/>
      </x:c>
      <x:c r="AB59" s="34" t="str">
        <x:f>""</x:f>
        <x:v/>
      </x:c>
      <x:c r="AC59" s="76" t="str">
        <x:f>""</x:f>
        <x:v/>
      </x:c>
      <x:c r="AD59" s="76" t="str">
        <x:f>""</x:f>
        <x:v/>
      </x:c>
      <x:c r="AE59" s="83" t="str">
        <x:f>""</x:f>
        <x:v/>
      </x:c>
      <x:c r="AF59" s="34" t="str">
        <x:f>""</x:f>
        <x:v/>
      </x:c>
      <x:c r="AG59" s="34" t="str">
        <x:f>""</x:f>
        <x:v/>
      </x:c>
      <x:c r="AH59" s="34" t="str">
        <x:f>""</x:f>
        <x:v/>
      </x:c>
      <x:c r="AI59" s="34" t="str">
        <x:f>""</x:f>
        <x:v/>
      </x:c>
      <x:c r="AJ59" s="76" t="str">
        <x:f>""</x:f>
        <x:v/>
      </x:c>
      <x:c r="AK59" s="76" t="str">
        <x:f>""</x:f>
        <x:v/>
      </x:c>
      <x:c r="AL59" s="83" t="str">
        <x:f>""</x:f>
        <x:v/>
      </x:c>
      <x:c r="AM59" s="4" t="str">
        <x:v>05 개선 적용·통합</x:v>
      </x:c>
      <x:c r="AN59" s="49"/>
      <x:c r="AO59" s="49"/>
      <x:c r="AP59" s="4" t="str">
        <x:v>UTM1 S01 정책 적용·정상 관리자 확인.</x:v>
      </x:c>
      <x:c r="AQ59" s="4" t="str">
        <x:v>#16 OPEN 0/4</x:v>
      </x:c>
      <x:c r="AR59" s="4" t="n">
        <x:f>IF(OR(ISNUMBER(SEARCH(AR$9,$D59)),ISNUMBER(SEARCH(AR$9,$E59))),1*100000000+IF(ISNUMBER($F59),$F59,99999)*1000+ROW(),1000000000)</x:f>
        <x:v>146330059.0</x:v>
      </x:c>
      <x:c r="AS59" s="4" t="n">
        <x:f>IF(OR(ISNUMBER(SEARCH(AS$9,$D59)),ISNUMBER(SEARCH(AS$9,$E59))),2*100000000+IF(ISNUMBER($F59),$F59,99999)*1000+ROW(),1000000000)</x:f>
        <x:v>1000000000.0</x:v>
      </x:c>
      <x:c r="AT59" s="4" t="n">
        <x:f>IF(OR(ISNUMBER(SEARCH(AT$9,$D59)),ISNUMBER(SEARCH(AT$9,$E59))),3*100000000+IF(ISNUMBER($F59),$F59,99999)*1000+ROW(),1000000000)</x:f>
        <x:v>1000000000.0</x:v>
      </x:c>
      <x:c r="AU59" s="4" t="n">
        <x:f>IF(OR(ISNUMBER(SEARCH(AU$9,$D59)),ISNUMBER(SEARCH(AU$9,$E59))),4*100000000+IF(ISNUMBER($F59),$F59,99999)*1000+ROW(),1000000000)</x:f>
        <x:v>1000000000.0</x:v>
      </x:c>
      <x:c r="AV59" s="4" t="n">
        <x:f>IF(OR(ISNUMBER(SEARCH(AV$9,$D59)),ISNUMBER(SEARCH(AV$9,$E59))),5*100000000+IF(ISNUMBER($F59),$F59,99999)*1000+ROW(),1000000000)</x:f>
        <x:v>1000000000.0</x:v>
      </x:c>
      <x:c r="AW59" s="4" t="str">
        <x:v>https://github.com/team-blocks-lab/otter-shield/issues/16</x:v>
      </x:c>
      <x:c r="AX59" s="4" t="str">
        <x:v>#16</x:v>
      </x:c>
      <x:c r="AY59" s="106" t="str">
        <x:v>완료 후</x:v>
      </x:c>
    </x:row>
    <x:row r="60" ht="31" customHeight="1">
      <x:c r="A60" s="66" t="str">
        <x:v>I21.2</x:v>
      </x:c>
      <x:c r="B60" s="67" t="str">
        <x:v>보안·검증</x:v>
      </x:c>
      <x:c r="C60" s="31" t="str">
        <x:v>독일 Wazuh 구축·대응 정책 적용</x:v>
      </x:c>
      <x:c r="D60" s="31" t="str">
        <x:v>M2 윤서영</x:v>
      </x:c>
      <x:c r="E60" s="31" t="str">
        <x:v>M1 유용수</x:v>
      </x:c>
      <x:c r="F60" s="41" t="n">
        <x:v>46330</x:v>
      </x:c>
      <x:c r="G60" s="41" t="n">
        <x:v>46331</x:v>
      </x:c>
      <x:c r="H60" s="42" t="str">
        <x:v>미확인</x:v>
      </x:c>
      <x:c r="I60" s="31" t="str">
        <x:v>I21.1</x:v>
      </x:c>
      <x:c r="J60" s="65" t="str">
        <x:f>HYPERLINK($AW60,"#21 +1")</x:f>
        <x:v>#21 +1</x:v>
      </x:c>
      <x:c r="K60" s="34" t="str">
        <x:f>""</x:f>
        <x:v/>
      </x:c>
      <x:c r="L60" s="74" t="str">
        <x:f>""</x:f>
        <x:v/>
      </x:c>
      <x:c r="M60" s="34" t="str">
        <x:f>""</x:f>
        <x:v/>
      </x:c>
      <x:c r="N60" s="34" t="str">
        <x:f>""</x:f>
        <x:v/>
      </x:c>
      <x:c r="O60" s="76" t="str">
        <x:f>""</x:f>
        <x:v/>
      </x:c>
      <x:c r="P60" s="76" t="str">
        <x:f>""</x:f>
        <x:v/>
      </x:c>
      <x:c r="Q60" s="83" t="str">
        <x:f>""</x:f>
        <x:v/>
      </x:c>
      <x:c r="R60" s="34" t="str">
        <x:f>""</x:f>
        <x:v/>
      </x:c>
      <x:c r="S60" s="34" t="str">
        <x:f>""</x:f>
        <x:v/>
      </x:c>
      <x:c r="T60" s="34" t="str">
        <x:f>""</x:f>
        <x:v/>
      </x:c>
      <x:c r="U60" s="34" t="str">
        <x:f>""</x:f>
        <x:v/>
      </x:c>
      <x:c r="V60" s="76" t="str">
        <x:f>""</x:f>
        <x:v/>
      </x:c>
      <x:c r="W60" s="86" t="str">
        <x:f>""</x:f>
        <x:v/>
      </x:c>
      <x:c r="X60" s="83" t="str">
        <x:f>""</x:f>
        <x:v/>
      </x:c>
      <x:c r="Y60" s="34" t="str">
        <x:f>""</x:f>
        <x:v/>
      </x:c>
      <x:c r="Z60" s="34" t="str">
        <x:f>""</x:f>
        <x:v/>
      </x:c>
      <x:c r="AA60" s="34" t="str">
        <x:f>""</x:f>
        <x:v/>
      </x:c>
      <x:c r="AB60" s="34" t="str">
        <x:f>""</x:f>
        <x:v/>
      </x:c>
      <x:c r="AC60" s="76" t="str">
        <x:f>""</x:f>
        <x:v/>
      </x:c>
      <x:c r="AD60" s="76" t="str">
        <x:f>""</x:f>
        <x:v/>
      </x:c>
      <x:c r="AE60" s="83" t="str">
        <x:f>""</x:f>
        <x:v/>
      </x:c>
      <x:c r="AF60" s="34" t="str">
        <x:f>""</x:f>
        <x:v/>
      </x:c>
      <x:c r="AG60" s="34" t="str">
        <x:f>""</x:f>
        <x:v/>
      </x:c>
      <x:c r="AH60" s="34" t="str">
        <x:f>""</x:f>
        <x:v/>
      </x:c>
      <x:c r="AI60" s="34" t="str">
        <x:f>""</x:f>
        <x:v/>
      </x:c>
      <x:c r="AJ60" s="76" t="str">
        <x:f>""</x:f>
        <x:v/>
      </x:c>
      <x:c r="AK60" s="76" t="str">
        <x:f>""</x:f>
        <x:v/>
      </x:c>
      <x:c r="AL60" s="83" t="str">
        <x:f>""</x:f>
        <x:v/>
      </x:c>
      <x:c r="AM60" s="4" t="str">
        <x:v>05 개선 적용·통합</x:v>
      </x:c>
      <x:c r="AN60" s="49"/>
      <x:c r="AO60" s="49"/>
      <x:c r="AP60" s="4" t="str">
        <x:v>설치·Agent·탐지·선정 대응·차단·해제. #9와 설치·검증 중복 기록하지 않음.</x:v>
      </x:c>
      <x:c r="AQ60" s="4" t="str">
        <x:v>#21 OPEN 0/8; #9 OPEN 0/5</x:v>
      </x:c>
      <x:c r="AR60" s="4" t="n">
        <x:f>IF(OR(ISNUMBER(SEARCH(AR$9,$D60)),ISNUMBER(SEARCH(AR$9,$E60))),1*100000000+IF(ISNUMBER($F60),$F60,99999)*1000+ROW(),1000000000)</x:f>
        <x:v>146330060.0</x:v>
      </x:c>
      <x:c r="AS60" s="4" t="n">
        <x:f>IF(OR(ISNUMBER(SEARCH(AS$9,$D60)),ISNUMBER(SEARCH(AS$9,$E60))),2*100000000+IF(ISNUMBER($F60),$F60,99999)*1000+ROW(),1000000000)</x:f>
        <x:v>246330060.0</x:v>
      </x:c>
      <x:c r="AT60" s="4" t="n">
        <x:f>IF(OR(ISNUMBER(SEARCH(AT$9,$D60)),ISNUMBER(SEARCH(AT$9,$E60))),3*100000000+IF(ISNUMBER($F60),$F60,99999)*1000+ROW(),1000000000)</x:f>
        <x:v>1000000000.0</x:v>
      </x:c>
      <x:c r="AU60" s="4" t="n">
        <x:f>IF(OR(ISNUMBER(SEARCH(AU$9,$D60)),ISNUMBER(SEARCH(AU$9,$E60))),4*100000000+IF(ISNUMBER($F60),$F60,99999)*1000+ROW(),1000000000)</x:f>
        <x:v>1000000000.0</x:v>
      </x:c>
      <x:c r="AV60" s="4" t="n">
        <x:f>IF(OR(ISNUMBER(SEARCH(AV$9,$D60)),ISNUMBER(SEARCH(AV$9,$E60))),5*100000000+IF(ISNUMBER($F60),$F60,99999)*1000+ROW(),1000000000)</x:f>
        <x:v>1000000000.0</x:v>
      </x:c>
      <x:c r="AW60" s="4" t="str">
        <x:v>https://github.com/team-blocks-lab/otter-shield/issues/21</x:v>
      </x:c>
      <x:c r="AX60" s="4" t="str">
        <x:v>#21; #9</x:v>
      </x:c>
      <x:c r="AY60" s="106" t="str">
        <x:v>완료 후</x:v>
      </x:c>
    </x:row>
    <x:row r="61" ht="31" customHeight="1">
      <x:c r="A61" s="66" t="str">
        <x:v>I26.2</x:v>
      </x:c>
      <x:c r="B61" s="67" t="str">
        <x:v>보안·검증</x:v>
      </x:c>
      <x:c r="C61" s="31" t="str">
        <x:v>S03·S05 접근제어·앱 부하 분산 적용</x:v>
      </x:c>
      <x:c r="D61" s="31" t="str">
        <x:v>M3 홍은서(PL)</x:v>
      </x:c>
      <x:c r="E61" s="31" t="str">
        <x:v>M5 유은혜</x:v>
      </x:c>
      <x:c r="F61" s="41" t="n">
        <x:v>46330</x:v>
      </x:c>
      <x:c r="G61" s="41" t="n">
        <x:v>46330</x:v>
      </x:c>
      <x:c r="H61" s="42" t="str">
        <x:v>미확인</x:v>
      </x:c>
      <x:c r="I61" s="31" t="str">
        <x:v>I26.1, I36.1</x:v>
      </x:c>
      <x:c r="J61" s="65" t="str">
        <x:f>HYPERLINK($AW61,"#26 +1")</x:f>
        <x:v>#26 +1</x:v>
      </x:c>
      <x:c r="K61" s="34" t="str">
        <x:f>IF(AND(ISNUMBER($G61),K$9=$G61),"◆","")</x:f>
        <x:v/>
      </x:c>
      <x:c r="L61" s="74" t="str">
        <x:f>IF(AND(ISNUMBER($G61),L$9=$G61),"◆","")</x:f>
        <x:v/>
      </x:c>
      <x:c r="M61" s="34" t="str">
        <x:f>IF(AND(ISNUMBER($G61),M$9=$G61),"◆","")</x:f>
        <x:v/>
      </x:c>
      <x:c r="N61" s="34" t="str">
        <x:f>IF(AND(ISNUMBER($G61),N$9=$G61),"◆","")</x:f>
        <x:v/>
      </x:c>
      <x:c r="O61" s="76" t="str">
        <x:f>IF(AND(ISNUMBER($G61),O$9=$G61),"◆","")</x:f>
        <x:v/>
      </x:c>
      <x:c r="P61" s="76" t="str">
        <x:f>IF(AND(ISNUMBER($G61),P$9=$G61),"◆","")</x:f>
        <x:v/>
      </x:c>
      <x:c r="Q61" s="83" t="str">
        <x:f>IF(AND(ISNUMBER($G61),Q$9=$G61),"◆","")</x:f>
        <x:v/>
      </x:c>
      <x:c r="R61" s="34" t="str">
        <x:f>IF(AND(ISNUMBER($G61),R$9=$G61),"◆","")</x:f>
        <x:v/>
      </x:c>
      <x:c r="S61" s="34" t="str">
        <x:f>IF(AND(ISNUMBER($G61),S$9=$G61),"◆","")</x:f>
        <x:v/>
      </x:c>
      <x:c r="T61" s="34" t="str">
        <x:f>IF(AND(ISNUMBER($G61),T$9=$G61),"◆","")</x:f>
        <x:v/>
      </x:c>
      <x:c r="U61" s="34" t="str">
        <x:f>IF(AND(ISNUMBER($G61),U$9=$G61),"◆","")</x:f>
        <x:v/>
      </x:c>
      <x:c r="V61" s="76" t="str">
        <x:f>IF(AND(ISNUMBER($G61),V$9=$G61),"◆","")</x:f>
        <x:v/>
      </x:c>
      <x:c r="W61" s="86" t="str">
        <x:f>IF(AND(ISNUMBER($G61),W$9=$G61),"◆","")</x:f>
        <x:v/>
      </x:c>
      <x:c r="X61" s="83" t="str">
        <x:f>IF(AND(ISNUMBER($G61),X$9=$G61),"◆","")</x:f>
        <x:v/>
      </x:c>
      <x:c r="Y61" s="34" t="str">
        <x:f>IF(AND(ISNUMBER($G61),Y$9=$G61),"◆","")</x:f>
        <x:v/>
      </x:c>
      <x:c r="Z61" s="34" t="str">
        <x:f>IF(AND(ISNUMBER($G61),Z$9=$G61),"◆","")</x:f>
        <x:v>◆</x:v>
      </x:c>
      <x:c r="AA61" s="34" t="str">
        <x:f>IF(AND(ISNUMBER($G61),AA$9=$G61),"◆","")</x:f>
        <x:v/>
      </x:c>
      <x:c r="AB61" s="34" t="str">
        <x:f>IF(AND(ISNUMBER($G61),AB$9=$G61),"◆","")</x:f>
        <x:v/>
      </x:c>
      <x:c r="AC61" s="76" t="str">
        <x:f>IF(AND(ISNUMBER($G61),AC$9=$G61),"◆","")</x:f>
        <x:v/>
      </x:c>
      <x:c r="AD61" s="76" t="str">
        <x:f>IF(AND(ISNUMBER($G61),AD$9=$G61),"◆","")</x:f>
        <x:v/>
      </x:c>
      <x:c r="AE61" s="83" t="str">
        <x:f>IF(AND(ISNUMBER($G61),AE$9=$G61),"◆","")</x:f>
        <x:v/>
      </x:c>
      <x:c r="AF61" s="34" t="str">
        <x:f>IF(AND(ISNUMBER($G61),AF$9=$G61),"◆","")</x:f>
        <x:v/>
      </x:c>
      <x:c r="AG61" s="34" t="str">
        <x:f>IF(AND(ISNUMBER($G61),AG$9=$G61),"◆","")</x:f>
        <x:v/>
      </x:c>
      <x:c r="AH61" s="34" t="str">
        <x:f>IF(AND(ISNUMBER($G61),AH$9=$G61),"◆","")</x:f>
        <x:v/>
      </x:c>
      <x:c r="AI61" s="34" t="str">
        <x:f>IF(AND(ISNUMBER($G61),AI$9=$G61),"◆","")</x:f>
        <x:v/>
      </x:c>
      <x:c r="AJ61" s="76" t="str">
        <x:f>IF(AND(ISNUMBER($G61),AJ$9=$G61),"◆","")</x:f>
        <x:v/>
      </x:c>
      <x:c r="AK61" s="76" t="str">
        <x:f>IF(AND(ISNUMBER($G61),AK$9=$G61),"◆","")</x:f>
        <x:v/>
      </x:c>
      <x:c r="AL61" s="83" t="str">
        <x:f>IF(AND(ISNUMBER($G61),AL$9=$G61),"◆","")</x:f>
        <x:v/>
      </x:c>
      <x:c r="AM61" s="4" t="str">
        <x:v>05 개선 적용·통합</x:v>
      </x:c>
      <x:c r="AN61" s="49"/>
      <x:c r="AO61" s="49"/>
      <x:c r="AP61" s="4" t="str">
        <x:v>11/04 오전. M3 UTM3 적용, M5 S05 요구·출발지 결과 대조. 정책 적용은 이 행에서만 기록.</x:v>
      </x:c>
      <x:c r="AQ61" s="4" t="str">
        <x:v>#26 OPEN 0/11; #36 OPEN 0/8</x:v>
      </x:c>
      <x:c r="AR61" s="4" t="n">
        <x:f>IF(OR(ISNUMBER(SEARCH(AR$9,$D61)),ISNUMBER(SEARCH(AR$9,$E61))),1*100000000+IF(ISNUMBER($F61),$F61,99999)*1000+ROW(),1000000000)</x:f>
        <x:v>1000000000.0</x:v>
      </x:c>
      <x:c r="AS61" s="4" t="n">
        <x:f>IF(OR(ISNUMBER(SEARCH(AS$9,$D61)),ISNUMBER(SEARCH(AS$9,$E61))),2*100000000+IF(ISNUMBER($F61),$F61,99999)*1000+ROW(),1000000000)</x:f>
        <x:v>1000000000.0</x:v>
      </x:c>
      <x:c r="AT61" s="4" t="n">
        <x:f>IF(OR(ISNUMBER(SEARCH(AT$9,$D61)),ISNUMBER(SEARCH(AT$9,$E61))),3*100000000+IF(ISNUMBER($F61),$F61,99999)*1000+ROW(),1000000000)</x:f>
        <x:v>346330061.0</x:v>
      </x:c>
      <x:c r="AU61" s="4" t="n">
        <x:f>IF(OR(ISNUMBER(SEARCH(AU$9,$D61)),ISNUMBER(SEARCH(AU$9,$E61))),4*100000000+IF(ISNUMBER($F61),$F61,99999)*1000+ROW(),1000000000)</x:f>
        <x:v>1000000000.0</x:v>
      </x:c>
      <x:c r="AV61" s="4" t="n">
        <x:f>IF(OR(ISNUMBER(SEARCH(AV$9,$D61)),ISNUMBER(SEARCH(AV$9,$E61))),5*100000000+IF(ISNUMBER($F61),$F61,99999)*1000+ROW(),1000000000)</x:f>
        <x:v>546330061.0</x:v>
      </x:c>
      <x:c r="AW61" s="4" t="str">
        <x:v>https://github.com/team-blocks-lab/otter-shield/issues/26</x:v>
      </x:c>
      <x:c r="AX61" s="4" t="str">
        <x:v>#26; #36</x:v>
      </x:c>
      <x:c r="AY61" s="106" t="str">
        <x:v>11/04 오전 UTM3 접근제어 정책·앱 부하 분산 후 배포 인계</x:v>
      </x:c>
    </x:row>
    <x:row r="62" ht="39" customHeight="1">
      <x:c r="A62" s="66" t="str">
        <x:v>I26.3</x:v>
      </x:c>
      <x:c r="B62" s="67" t="str">
        <x:v>인프라</x:v>
      </x:c>
      <x:c r="C62" s="31" t="str">
        <x:v>Nginx B·VIP 구성</x:v>
      </x:c>
      <x:c r="D62" s="31" t="str">
        <x:v>M3 홍은서(PL)</x:v>
      </x:c>
      <x:c r="E62" s="31" t="str">
        <x:v>—</x:v>
      </x:c>
      <x:c r="F62" s="41" t="n">
        <x:v>46331</x:v>
      </x:c>
      <x:c r="G62" s="41" t="n">
        <x:v>46331</x:v>
      </x:c>
      <x:c r="H62" s="42" t="str">
        <x:v>미확인</x:v>
      </x:c>
      <x:c r="I62" s="31" t="str">
        <x:v>I26.1</x:v>
      </x:c>
      <x:c r="J62" s="65" t="str">
        <x:f>HYPERLINK($AW62,"#26")</x:f>
        <x:v>#26</x:v>
      </x:c>
      <x:c r="K62" s="34" t="str">
        <x:f>IF(AND(ISNUMBER($G62),K$9=$G62),"◆","")</x:f>
        <x:v/>
      </x:c>
      <x:c r="L62" s="74" t="str">
        <x:f>IF(AND(ISNUMBER($G62),L$9=$G62),"◆","")</x:f>
        <x:v/>
      </x:c>
      <x:c r="M62" s="34" t="str">
        <x:f>IF(AND(ISNUMBER($G62),M$9=$G62),"◆","")</x:f>
        <x:v/>
      </x:c>
      <x:c r="N62" s="34" t="str">
        <x:f>IF(AND(ISNUMBER($G62),N$9=$G62),"◆","")</x:f>
        <x:v/>
      </x:c>
      <x:c r="O62" s="76" t="str">
        <x:f>IF(AND(ISNUMBER($G62),O$9=$G62),"◆","")</x:f>
        <x:v/>
      </x:c>
      <x:c r="P62" s="76" t="str">
        <x:f>IF(AND(ISNUMBER($G62),P$9=$G62),"◆","")</x:f>
        <x:v/>
      </x:c>
      <x:c r="Q62" s="83" t="str">
        <x:f>IF(AND(ISNUMBER($G62),Q$9=$G62),"◆","")</x:f>
        <x:v/>
      </x:c>
      <x:c r="R62" s="34" t="str">
        <x:f>IF(AND(ISNUMBER($G62),R$9=$G62),"◆","")</x:f>
        <x:v/>
      </x:c>
      <x:c r="S62" s="34" t="str">
        <x:f>IF(AND(ISNUMBER($G62),S$9=$G62),"◆","")</x:f>
        <x:v/>
      </x:c>
      <x:c r="T62" s="34" t="str">
        <x:f>IF(AND(ISNUMBER($G62),T$9=$G62),"◆","")</x:f>
        <x:v/>
      </x:c>
      <x:c r="U62" s="34" t="str">
        <x:f>IF(AND(ISNUMBER($G62),U$9=$G62),"◆","")</x:f>
        <x:v/>
      </x:c>
      <x:c r="V62" s="76" t="str">
        <x:f>IF(AND(ISNUMBER($G62),V$9=$G62),"◆","")</x:f>
        <x:v/>
      </x:c>
      <x:c r="W62" s="86" t="str">
        <x:f>IF(AND(ISNUMBER($G62),W$9=$G62),"◆","")</x:f>
        <x:v/>
      </x:c>
      <x:c r="X62" s="83" t="str">
        <x:f>IF(AND(ISNUMBER($G62),X$9=$G62),"◆","")</x:f>
        <x:v/>
      </x:c>
      <x:c r="Y62" s="34" t="str">
        <x:f>IF(AND(ISNUMBER($G62),Y$9=$G62),"◆","")</x:f>
        <x:v/>
      </x:c>
      <x:c r="Z62" s="34" t="str">
        <x:f>IF(AND(ISNUMBER($G62),Z$9=$G62),"◆","")</x:f>
        <x:v/>
      </x:c>
      <x:c r="AA62" s="34" t="str">
        <x:f>IF(AND(ISNUMBER($G62),AA$9=$G62),"◆","")</x:f>
        <x:v>◆</x:v>
      </x:c>
      <x:c r="AB62" s="34" t="str">
        <x:f>IF(AND(ISNUMBER($G62),AB$9=$G62),"◆","")</x:f>
        <x:v/>
      </x:c>
      <x:c r="AC62" s="76" t="str">
        <x:f>IF(AND(ISNUMBER($G62),AC$9=$G62),"◆","")</x:f>
        <x:v/>
      </x:c>
      <x:c r="AD62" s="76" t="str">
        <x:f>IF(AND(ISNUMBER($G62),AD$9=$G62),"◆","")</x:f>
        <x:v/>
      </x:c>
      <x:c r="AE62" s="83" t="str">
        <x:f>IF(AND(ISNUMBER($G62),AE$9=$G62),"◆","")</x:f>
        <x:v/>
      </x:c>
      <x:c r="AF62" s="34" t="str">
        <x:f>IF(AND(ISNUMBER($G62),AF$9=$G62),"◆","")</x:f>
        <x:v/>
      </x:c>
      <x:c r="AG62" s="34" t="str">
        <x:f>IF(AND(ISNUMBER($G62),AG$9=$G62),"◆","")</x:f>
        <x:v/>
      </x:c>
      <x:c r="AH62" s="34" t="str">
        <x:f>IF(AND(ISNUMBER($G62),AH$9=$G62),"◆","")</x:f>
        <x:v/>
      </x:c>
      <x:c r="AI62" s="34" t="str">
        <x:f>IF(AND(ISNUMBER($G62),AI$9=$G62),"◆","")</x:f>
        <x:v/>
      </x:c>
      <x:c r="AJ62" s="76" t="str">
        <x:f>IF(AND(ISNUMBER($G62),AJ$9=$G62),"◆","")</x:f>
        <x:v/>
      </x:c>
      <x:c r="AK62" s="76" t="str">
        <x:f>IF(AND(ISNUMBER($G62),AK$9=$G62),"◆","")</x:f>
        <x:v/>
      </x:c>
      <x:c r="AL62" s="83" t="str">
        <x:f>IF(AND(ISNUMBER($G62),AL$9=$G62),"◆","")</x:f>
        <x:v/>
      </x:c>
      <x:c r="AM62" s="4" t="str">
        <x:v>05 개선 적용·통합</x:v>
      </x:c>
      <x:c r="AN62" s="49"/>
      <x:c r="AO62" s="49"/>
      <x:c r="AP62" s="4" t="str">
        <x:v>11/05 오후. 오전 M4 원본 DB/복제 협업 후. 남는 단일 장애점은 별도 기록.</x:v>
      </x:c>
      <x:c r="AQ62" s="4" t="str">
        <x:v>#26 OPEN 0/11</x:v>
      </x:c>
      <x:c r="AR62" s="4" t="n">
        <x:f>IF(OR(ISNUMBER(SEARCH(AR$9,$D62)),ISNUMBER(SEARCH(AR$9,$E62))),1*100000000+IF(ISNUMBER($F62),$F62,99999)*1000+ROW(),1000000000)</x:f>
        <x:v>1000000000.0</x:v>
      </x:c>
      <x:c r="AS62" s="4" t="n">
        <x:f>IF(OR(ISNUMBER(SEARCH(AS$9,$D62)),ISNUMBER(SEARCH(AS$9,$E62))),2*100000000+IF(ISNUMBER($F62),$F62,99999)*1000+ROW(),1000000000)</x:f>
        <x:v>1000000000.0</x:v>
      </x:c>
      <x:c r="AT62" s="4" t="n">
        <x:f>IF(OR(ISNUMBER(SEARCH(AT$9,$D62)),ISNUMBER(SEARCH(AT$9,$E62))),3*100000000+IF(ISNUMBER($F62),$F62,99999)*1000+ROW(),1000000000)</x:f>
        <x:v>346331062.0</x:v>
      </x:c>
      <x:c r="AU62" s="4" t="n">
        <x:f>IF(OR(ISNUMBER(SEARCH(AU$9,$D62)),ISNUMBER(SEARCH(AU$9,$E62))),4*100000000+IF(ISNUMBER($F62),$F62,99999)*1000+ROW(),1000000000)</x:f>
        <x:v>1000000000.0</x:v>
      </x:c>
      <x:c r="AV62" s="4" t="n">
        <x:f>IF(OR(ISNUMBER(SEARCH(AV$9,$D62)),ISNUMBER(SEARCH(AV$9,$E62))),5*100000000+IF(ISNUMBER($F62),$F62,99999)*1000+ROW(),1000000000)</x:f>
        <x:v>1000000000.0</x:v>
      </x:c>
      <x:c r="AW62" s="4" t="str">
        <x:v>https://github.com/team-blocks-lab/otter-shield/issues/26</x:v>
      </x:c>
      <x:c r="AX62" s="4" t="str">
        <x:v>#26</x:v>
      </x:c>
      <x:c r="AY62" s="106" t="str">
        <x:v>기술 선행은 I26.1. 11/05 오전 DB 협업 후 오후 M3가 수행하는 것은 담당자 시간 제약.</x:v>
      </x:c>
    </x:row>
    <x:row r="63" ht="31" customHeight="1">
      <x:c r="A63" s="66" t="str">
        <x:v>I31.2</x:v>
      </x:c>
      <x:c r="B63" s="67" t="str">
        <x:v>보안·검증</x:v>
      </x:c>
      <x:c r="C63" s="31" t="str">
        <x:v>백업 파일 접근권한·감사 로그 설정</x:v>
      </x:c>
      <x:c r="D63" s="31" t="str">
        <x:v>M4 박진혁</x:v>
      </x:c>
      <x:c r="E63" s="31" t="str">
        <x:v>—</x:v>
      </x:c>
      <x:c r="F63" s="41" t="n">
        <x:v>46330</x:v>
      </x:c>
      <x:c r="G63" s="41" t="n">
        <x:v>46330</x:v>
      </x:c>
      <x:c r="H63" s="42" t="str">
        <x:v>미확인</x:v>
      </x:c>
      <x:c r="I63" s="31" t="str">
        <x:v>I31.1</x:v>
      </x:c>
      <x:c r="J63" s="65" t="str">
        <x:f>HYPERLINK($AW63,"#31")</x:f>
        <x:v>#31</x:v>
      </x:c>
      <x:c r="K63" s="34" t="str">
        <x:f>""</x:f>
        <x:v/>
      </x:c>
      <x:c r="L63" s="74" t="str">
        <x:f>""</x:f>
        <x:v/>
      </x:c>
      <x:c r="M63" s="34" t="str">
        <x:f>""</x:f>
        <x:v/>
      </x:c>
      <x:c r="N63" s="34" t="str">
        <x:f>""</x:f>
        <x:v/>
      </x:c>
      <x:c r="O63" s="76" t="str">
        <x:f>""</x:f>
        <x:v/>
      </x:c>
      <x:c r="P63" s="76" t="str">
        <x:f>""</x:f>
        <x:v/>
      </x:c>
      <x:c r="Q63" s="83" t="str">
        <x:f>""</x:f>
        <x:v/>
      </x:c>
      <x:c r="R63" s="34" t="str">
        <x:f>""</x:f>
        <x:v/>
      </x:c>
      <x:c r="S63" s="34" t="str">
        <x:f>""</x:f>
        <x:v/>
      </x:c>
      <x:c r="T63" s="34" t="str">
        <x:f>""</x:f>
        <x:v/>
      </x:c>
      <x:c r="U63" s="34" t="str">
        <x:f>""</x:f>
        <x:v/>
      </x:c>
      <x:c r="V63" s="76" t="str">
        <x:f>""</x:f>
        <x:v/>
      </x:c>
      <x:c r="W63" s="86" t="str">
        <x:f>""</x:f>
        <x:v/>
      </x:c>
      <x:c r="X63" s="83" t="str">
        <x:f>""</x:f>
        <x:v/>
      </x:c>
      <x:c r="Y63" s="34" t="str">
        <x:f>""</x:f>
        <x:v/>
      </x:c>
      <x:c r="Z63" s="34" t="str">
        <x:f>""</x:f>
        <x:v/>
      </x:c>
      <x:c r="AA63" s="34" t="str">
        <x:f>""</x:f>
        <x:v/>
      </x:c>
      <x:c r="AB63" s="34" t="str">
        <x:f>""</x:f>
        <x:v/>
      </x:c>
      <x:c r="AC63" s="76" t="str">
        <x:f>""</x:f>
        <x:v/>
      </x:c>
      <x:c r="AD63" s="76" t="str">
        <x:f>""</x:f>
        <x:v/>
      </x:c>
      <x:c r="AE63" s="83" t="str">
        <x:f>""</x:f>
        <x:v/>
      </x:c>
      <x:c r="AF63" s="34" t="str">
        <x:f>""</x:f>
        <x:v/>
      </x:c>
      <x:c r="AG63" s="34" t="str">
        <x:f>""</x:f>
        <x:v/>
      </x:c>
      <x:c r="AH63" s="34" t="str">
        <x:f>""</x:f>
        <x:v/>
      </x:c>
      <x:c r="AI63" s="34" t="str">
        <x:f>""</x:f>
        <x:v/>
      </x:c>
      <x:c r="AJ63" s="76" t="str">
        <x:f>""</x:f>
        <x:v/>
      </x:c>
      <x:c r="AK63" s="76" t="str">
        <x:f>""</x:f>
        <x:v/>
      </x:c>
      <x:c r="AL63" s="83" t="str">
        <x:f>""</x:f>
        <x:v/>
      </x:c>
      <x:c r="AM63" s="4" t="str">
        <x:v>05 개선 적용·통합</x:v>
      </x:c>
      <x:c r="AN63" s="49"/>
      <x:c r="AO63" s="49"/>
      <x:c r="AP63" s="4" t="str">
        <x:v>S04 권한·읽기 감사 개선. 실제 DB 복원은 C10.3.</x:v>
      </x:c>
      <x:c r="AQ63" s="4" t="str">
        <x:v>#31 OPEN 0/6</x:v>
      </x:c>
      <x:c r="AR63" s="4" t="n">
        <x:f>IF(OR(ISNUMBER(SEARCH(AR$9,$D63)),ISNUMBER(SEARCH(AR$9,$E63))),1*100000000+IF(ISNUMBER($F63),$F63,99999)*1000+ROW(),1000000000)</x:f>
        <x:v>1000000000.0</x:v>
      </x:c>
      <x:c r="AS63" s="4" t="n">
        <x:f>IF(OR(ISNUMBER(SEARCH(AS$9,$D63)),ISNUMBER(SEARCH(AS$9,$E63))),2*100000000+IF(ISNUMBER($F63),$F63,99999)*1000+ROW(),1000000000)</x:f>
        <x:v>1000000000.0</x:v>
      </x:c>
      <x:c r="AT63" s="4" t="n">
        <x:f>IF(OR(ISNUMBER(SEARCH(AT$9,$D63)),ISNUMBER(SEARCH(AT$9,$E63))),3*100000000+IF(ISNUMBER($F63),$F63,99999)*1000+ROW(),1000000000)</x:f>
        <x:v>1000000000.0</x:v>
      </x:c>
      <x:c r="AU63" s="4" t="n">
        <x:f>IF(OR(ISNUMBER(SEARCH(AU$9,$D63)),ISNUMBER(SEARCH(AU$9,$E63))),4*100000000+IF(ISNUMBER($F63),$F63,99999)*1000+ROW(),1000000000)</x:f>
        <x:v>446330063.0</x:v>
      </x:c>
      <x:c r="AV63" s="4" t="n">
        <x:f>IF(OR(ISNUMBER(SEARCH(AV$9,$D63)),ISNUMBER(SEARCH(AV$9,$E63))),5*100000000+IF(ISNUMBER($F63),$F63,99999)*1000+ROW(),1000000000)</x:f>
        <x:v>1000000000.0</x:v>
      </x:c>
      <x:c r="AW63" s="4" t="str">
        <x:v>https://github.com/team-blocks-lab/otter-shield/issues/31</x:v>
      </x:c>
      <x:c r="AX63" s="4" t="str">
        <x:v>#31</x:v>
      </x:c>
      <x:c r="AY63" s="106" t="str">
        <x:v>완료 후</x:v>
      </x:c>
    </x:row>
    <x:row r="64" ht="31" customHeight="1">
      <x:c r="A64" s="66" t="str">
        <x:v>C10.3</x:v>
      </x:c>
      <x:c r="B64" s="67" t="str">
        <x:v>보안·검증</x:v>
      </x:c>
      <x:c r="C64" s="31" t="str">
        <x:v>격리 DB 초기 복원 테스트</x:v>
      </x:c>
      <x:c r="D64" s="31" t="str">
        <x:v>M4 박진혁</x:v>
      </x:c>
      <x:c r="E64" s="31" t="str">
        <x:v>—</x:v>
      </x:c>
      <x:c r="F64" s="41" t="n">
        <x:v>46330</x:v>
      </x:c>
      <x:c r="G64" s="41" t="n">
        <x:v>46330</x:v>
      </x:c>
      <x:c r="H64" s="42" t="str">
        <x:v>미확인</x:v>
      </x:c>
      <x:c r="I64" s="31" t="str">
        <x:v>I31.1, C10.2</x:v>
      </x:c>
      <x:c r="J64" s="65" t="str">
        <x:f>HYPERLINK($AW64,"#10 +1")</x:f>
        <x:v>#10 +1</x:v>
      </x:c>
      <x:c r="K64" s="34" t="str">
        <x:f>IF(AND(ISNUMBER($G64),K$9=$G64),"◆","")</x:f>
        <x:v/>
      </x:c>
      <x:c r="L64" s="74" t="str">
        <x:f>IF(AND(ISNUMBER($G64),L$9=$G64),"◆","")</x:f>
        <x:v/>
      </x:c>
      <x:c r="M64" s="34" t="str">
        <x:f>IF(AND(ISNUMBER($G64),M$9=$G64),"◆","")</x:f>
        <x:v/>
      </x:c>
      <x:c r="N64" s="34" t="str">
        <x:f>IF(AND(ISNUMBER($G64),N$9=$G64),"◆","")</x:f>
        <x:v/>
      </x:c>
      <x:c r="O64" s="76" t="str">
        <x:f>IF(AND(ISNUMBER($G64),O$9=$G64),"◆","")</x:f>
        <x:v/>
      </x:c>
      <x:c r="P64" s="76" t="str">
        <x:f>IF(AND(ISNUMBER($G64),P$9=$G64),"◆","")</x:f>
        <x:v/>
      </x:c>
      <x:c r="Q64" s="83" t="str">
        <x:f>IF(AND(ISNUMBER($G64),Q$9=$G64),"◆","")</x:f>
        <x:v/>
      </x:c>
      <x:c r="R64" s="34" t="str">
        <x:f>IF(AND(ISNUMBER($G64),R$9=$G64),"◆","")</x:f>
        <x:v/>
      </x:c>
      <x:c r="S64" s="34" t="str">
        <x:f>IF(AND(ISNUMBER($G64),S$9=$G64),"◆","")</x:f>
        <x:v/>
      </x:c>
      <x:c r="T64" s="34" t="str">
        <x:f>IF(AND(ISNUMBER($G64),T$9=$G64),"◆","")</x:f>
        <x:v/>
      </x:c>
      <x:c r="U64" s="34" t="str">
        <x:f>IF(AND(ISNUMBER($G64),U$9=$G64),"◆","")</x:f>
        <x:v/>
      </x:c>
      <x:c r="V64" s="76" t="str">
        <x:f>IF(AND(ISNUMBER($G64),V$9=$G64),"◆","")</x:f>
        <x:v/>
      </x:c>
      <x:c r="W64" s="86" t="str">
        <x:f>IF(AND(ISNUMBER($G64),W$9=$G64),"◆","")</x:f>
        <x:v/>
      </x:c>
      <x:c r="X64" s="83" t="str">
        <x:f>IF(AND(ISNUMBER($G64),X$9=$G64),"◆","")</x:f>
        <x:v/>
      </x:c>
      <x:c r="Y64" s="34" t="str">
        <x:f>IF(AND(ISNUMBER($G64),Y$9=$G64),"◆","")</x:f>
        <x:v/>
      </x:c>
      <x:c r="Z64" s="34" t="str">
        <x:f>IF(AND(ISNUMBER($G64),Z$9=$G64),"◆","")</x:f>
        <x:v>◆</x:v>
      </x:c>
      <x:c r="AA64" s="34" t="str">
        <x:f>IF(AND(ISNUMBER($G64),AA$9=$G64),"◆","")</x:f>
        <x:v/>
      </x:c>
      <x:c r="AB64" s="34" t="str">
        <x:f>IF(AND(ISNUMBER($G64),AB$9=$G64),"◆","")</x:f>
        <x:v/>
      </x:c>
      <x:c r="AC64" s="76" t="str">
        <x:f>IF(AND(ISNUMBER($G64),AC$9=$G64),"◆","")</x:f>
        <x:v/>
      </x:c>
      <x:c r="AD64" s="76" t="str">
        <x:f>IF(AND(ISNUMBER($G64),AD$9=$G64),"◆","")</x:f>
        <x:v/>
      </x:c>
      <x:c r="AE64" s="83" t="str">
        <x:f>IF(AND(ISNUMBER($G64),AE$9=$G64),"◆","")</x:f>
        <x:v/>
      </x:c>
      <x:c r="AF64" s="34" t="str">
        <x:f>IF(AND(ISNUMBER($G64),AF$9=$G64),"◆","")</x:f>
        <x:v/>
      </x:c>
      <x:c r="AG64" s="34" t="str">
        <x:f>IF(AND(ISNUMBER($G64),AG$9=$G64),"◆","")</x:f>
        <x:v/>
      </x:c>
      <x:c r="AH64" s="34" t="str">
        <x:f>IF(AND(ISNUMBER($G64),AH$9=$G64),"◆","")</x:f>
        <x:v/>
      </x:c>
      <x:c r="AI64" s="34" t="str">
        <x:f>IF(AND(ISNUMBER($G64),AI$9=$G64),"◆","")</x:f>
        <x:v/>
      </x:c>
      <x:c r="AJ64" s="76" t="str">
        <x:f>IF(AND(ISNUMBER($G64),AJ$9=$G64),"◆","")</x:f>
        <x:v/>
      </x:c>
      <x:c r="AK64" s="76" t="str">
        <x:f>IF(AND(ISNUMBER($G64),AK$9=$G64),"◆","")</x:f>
        <x:v/>
      </x:c>
      <x:c r="AL64" s="83" t="str">
        <x:f>IF(AND(ISNUMBER($G64),AL$9=$G64),"◆","")</x:f>
        <x:v/>
      </x:c>
      <x:c r="AM64" s="4" t="str">
        <x:v>05 개선 적용·통합</x:v>
      </x:c>
      <x:c r="AN64" s="49"/>
      <x:c r="AO64" s="49"/>
      <x:c r="AP64" s="4" t="str">
        <x:v>운영 원본 덮어쓰기 없이 격리 복원.</x:v>
      </x:c>
      <x:c r="AQ64" s="4" t="str">
        <x:v>#10 OPEN 0/9; #31 OPEN 0/6</x:v>
      </x:c>
      <x:c r="AR64" s="4" t="n">
        <x:f>IF(OR(ISNUMBER(SEARCH(AR$9,$D64)),ISNUMBER(SEARCH(AR$9,$E64))),1*100000000+IF(ISNUMBER($F64),$F64,99999)*1000+ROW(),1000000000)</x:f>
        <x:v>1000000000.0</x:v>
      </x:c>
      <x:c r="AS64" s="4" t="n">
        <x:f>IF(OR(ISNUMBER(SEARCH(AS$9,$D64)),ISNUMBER(SEARCH(AS$9,$E64))),2*100000000+IF(ISNUMBER($F64),$F64,99999)*1000+ROW(),1000000000)</x:f>
        <x:v>1000000000.0</x:v>
      </x:c>
      <x:c r="AT64" s="4" t="n">
        <x:f>IF(OR(ISNUMBER(SEARCH(AT$9,$D64)),ISNUMBER(SEARCH(AT$9,$E64))),3*100000000+IF(ISNUMBER($F64),$F64,99999)*1000+ROW(),1000000000)</x:f>
        <x:v>1000000000.0</x:v>
      </x:c>
      <x:c r="AU64" s="4" t="n">
        <x:f>IF(OR(ISNUMBER(SEARCH(AU$9,$D64)),ISNUMBER(SEARCH(AU$9,$E64))),4*100000000+IF(ISNUMBER($F64),$F64,99999)*1000+ROW(),1000000000)</x:f>
        <x:v>446330064.0</x:v>
      </x:c>
      <x:c r="AV64" s="4" t="n">
        <x:f>IF(OR(ISNUMBER(SEARCH(AV$9,$D64)),ISNUMBER(SEARCH(AV$9,$E64))),5*100000000+IF(ISNUMBER($F64),$F64,99999)*1000+ROW(),1000000000)</x:f>
        <x:v>1000000000.0</x:v>
      </x:c>
      <x:c r="AW64" s="4" t="str">
        <x:v>https://github.com/team-blocks-lab/otter-shield/issues/10</x:v>
      </x:c>
      <x:c r="AX64" s="4" t="str">
        <x:v>#10; #31</x:v>
      </x:c>
      <x:c r="AY64" s="106" t="str">
        <x:v>완료 후</x:v>
      </x:c>
    </x:row>
    <x:row r="65" ht="31" customHeight="1">
      <x:c r="A65" s="66" t="str">
        <x:v>I31.3</x:v>
      </x:c>
      <x:c r="B65" s="67" t="str">
        <x:v>인프라</x:v>
      </x:c>
      <x:c r="C65" s="31" t="str">
        <x:v>원본·복제 DB 초기 동기화</x:v>
      </x:c>
      <x:c r="D65" s="31" t="str">
        <x:v>M4 박진혁</x:v>
      </x:c>
      <x:c r="E65" s="31" t="str">
        <x:v>M3 홍은서</x:v>
      </x:c>
      <x:c r="F65" s="41" t="n">
        <x:v>46331</x:v>
      </x:c>
      <x:c r="G65" s="41" t="n">
        <x:v>46331</x:v>
      </x:c>
      <x:c r="H65" s="42" t="str">
        <x:v>미확인</x:v>
      </x:c>
      <x:c r="I65" s="31" t="str">
        <x:v>I31.1, C10.2</x:v>
      </x:c>
      <x:c r="J65" s="65" t="str">
        <x:f>HYPERLINK($AW65,"#31 +2")</x:f>
        <x:v>#31 +2</x:v>
      </x:c>
      <x:c r="K65" s="34" t="str">
        <x:f>IF(AND(ISNUMBER($G65),K$9=$G65),"◆","")</x:f>
        <x:v/>
      </x:c>
      <x:c r="L65" s="74" t="str">
        <x:f>IF(AND(ISNUMBER($G65),L$9=$G65),"◆","")</x:f>
        <x:v/>
      </x:c>
      <x:c r="M65" s="34" t="str">
        <x:f>IF(AND(ISNUMBER($G65),M$9=$G65),"◆","")</x:f>
        <x:v/>
      </x:c>
      <x:c r="N65" s="34" t="str">
        <x:f>IF(AND(ISNUMBER($G65),N$9=$G65),"◆","")</x:f>
        <x:v/>
      </x:c>
      <x:c r="O65" s="76" t="str">
        <x:f>IF(AND(ISNUMBER($G65),O$9=$G65),"◆","")</x:f>
        <x:v/>
      </x:c>
      <x:c r="P65" s="76" t="str">
        <x:f>IF(AND(ISNUMBER($G65),P$9=$G65),"◆","")</x:f>
        <x:v/>
      </x:c>
      <x:c r="Q65" s="83" t="str">
        <x:f>IF(AND(ISNUMBER($G65),Q$9=$G65),"◆","")</x:f>
        <x:v/>
      </x:c>
      <x:c r="R65" s="34" t="str">
        <x:f>IF(AND(ISNUMBER($G65),R$9=$G65),"◆","")</x:f>
        <x:v/>
      </x:c>
      <x:c r="S65" s="34" t="str">
        <x:f>IF(AND(ISNUMBER($G65),S$9=$G65),"◆","")</x:f>
        <x:v/>
      </x:c>
      <x:c r="T65" s="34" t="str">
        <x:f>IF(AND(ISNUMBER($G65),T$9=$G65),"◆","")</x:f>
        <x:v/>
      </x:c>
      <x:c r="U65" s="34" t="str">
        <x:f>IF(AND(ISNUMBER($G65),U$9=$G65),"◆","")</x:f>
        <x:v/>
      </x:c>
      <x:c r="V65" s="76" t="str">
        <x:f>IF(AND(ISNUMBER($G65),V$9=$G65),"◆","")</x:f>
        <x:v/>
      </x:c>
      <x:c r="W65" s="86" t="str">
        <x:f>IF(AND(ISNUMBER($G65),W$9=$G65),"◆","")</x:f>
        <x:v/>
      </x:c>
      <x:c r="X65" s="83" t="str">
        <x:f>IF(AND(ISNUMBER($G65),X$9=$G65),"◆","")</x:f>
        <x:v/>
      </x:c>
      <x:c r="Y65" s="34" t="str">
        <x:f>IF(AND(ISNUMBER($G65),Y$9=$G65),"◆","")</x:f>
        <x:v/>
      </x:c>
      <x:c r="Z65" s="34" t="str">
        <x:f>IF(AND(ISNUMBER($G65),Z$9=$G65),"◆","")</x:f>
        <x:v/>
      </x:c>
      <x:c r="AA65" s="34" t="str">
        <x:f>IF(AND(ISNUMBER($G65),AA$9=$G65),"◆","")</x:f>
        <x:v>◆</x:v>
      </x:c>
      <x:c r="AB65" s="34" t="str">
        <x:f>IF(AND(ISNUMBER($G65),AB$9=$G65),"◆","")</x:f>
        <x:v/>
      </x:c>
      <x:c r="AC65" s="76" t="str">
        <x:f>IF(AND(ISNUMBER($G65),AC$9=$G65),"◆","")</x:f>
        <x:v/>
      </x:c>
      <x:c r="AD65" s="76" t="str">
        <x:f>IF(AND(ISNUMBER($G65),AD$9=$G65),"◆","")</x:f>
        <x:v/>
      </x:c>
      <x:c r="AE65" s="83" t="str">
        <x:f>IF(AND(ISNUMBER($G65),AE$9=$G65),"◆","")</x:f>
        <x:v/>
      </x:c>
      <x:c r="AF65" s="34" t="str">
        <x:f>IF(AND(ISNUMBER($G65),AF$9=$G65),"◆","")</x:f>
        <x:v/>
      </x:c>
      <x:c r="AG65" s="34" t="str">
        <x:f>IF(AND(ISNUMBER($G65),AG$9=$G65),"◆","")</x:f>
        <x:v/>
      </x:c>
      <x:c r="AH65" s="34" t="str">
        <x:f>IF(AND(ISNUMBER($G65),AH$9=$G65),"◆","")</x:f>
        <x:v/>
      </x:c>
      <x:c r="AI65" s="34" t="str">
        <x:f>IF(AND(ISNUMBER($G65),AI$9=$G65),"◆","")</x:f>
        <x:v/>
      </x:c>
      <x:c r="AJ65" s="76" t="str">
        <x:f>IF(AND(ISNUMBER($G65),AJ$9=$G65),"◆","")</x:f>
        <x:v/>
      </x:c>
      <x:c r="AK65" s="76" t="str">
        <x:f>IF(AND(ISNUMBER($G65),AK$9=$G65),"◆","")</x:f>
        <x:v/>
      </x:c>
      <x:c r="AL65" s="83" t="str">
        <x:f>IF(AND(ISNUMBER($G65),AL$9=$G65),"◆","")</x:f>
        <x:v/>
      </x:c>
      <x:c r="AM65" s="4" t="str">
        <x:v>05 개선 적용·통합</x:v>
      </x:c>
      <x:c r="AN65" s="49"/>
      <x:c r="AO65" s="49"/>
      <x:c r="AP65" s="4" t="str">
        <x:v>11/05 오전. M3 원본 계정·허용 경로, M4 초기 동기화·변경 반영.</x:v>
      </x:c>
      <x:c r="AQ65" s="4" t="str">
        <x:v>#31 OPEN 0/6; #10 OPEN 0/9; #26 OPEN 0/11</x:v>
      </x:c>
      <x:c r="AR65" s="4" t="n">
        <x:f>IF(OR(ISNUMBER(SEARCH(AR$9,$D65)),ISNUMBER(SEARCH(AR$9,$E65))),1*100000000+IF(ISNUMBER($F65),$F65,99999)*1000+ROW(),1000000000)</x:f>
        <x:v>1000000000.0</x:v>
      </x:c>
      <x:c r="AS65" s="4" t="n">
        <x:f>IF(OR(ISNUMBER(SEARCH(AS$9,$D65)),ISNUMBER(SEARCH(AS$9,$E65))),2*100000000+IF(ISNUMBER($F65),$F65,99999)*1000+ROW(),1000000000)</x:f>
        <x:v>1000000000.0</x:v>
      </x:c>
      <x:c r="AT65" s="4" t="n">
        <x:f>IF(OR(ISNUMBER(SEARCH(AT$9,$D65)),ISNUMBER(SEARCH(AT$9,$E65))),3*100000000+IF(ISNUMBER($F65),$F65,99999)*1000+ROW(),1000000000)</x:f>
        <x:v>346331065.0</x:v>
      </x:c>
      <x:c r="AU65" s="4" t="n">
        <x:f>IF(OR(ISNUMBER(SEARCH(AU$9,$D65)),ISNUMBER(SEARCH(AU$9,$E65))),4*100000000+IF(ISNUMBER($F65),$F65,99999)*1000+ROW(),1000000000)</x:f>
        <x:v>446331065.0</x:v>
      </x:c>
      <x:c r="AV65" s="4" t="n">
        <x:f>IF(OR(ISNUMBER(SEARCH(AV$9,$D65)),ISNUMBER(SEARCH(AV$9,$E65))),5*100000000+IF(ISNUMBER($F65),$F65,99999)*1000+ROW(),1000000000)</x:f>
        <x:v>1000000000.0</x:v>
      </x:c>
      <x:c r="AW65" s="4" t="str">
        <x:v>https://github.com/team-blocks-lab/otter-shield/issues/31</x:v>
      </x:c>
      <x:c r="AX65" s="4" t="str">
        <x:v>#31; #10; #26</x:v>
      </x:c>
      <x:c r="AY65" s="106" t="str">
        <x:v>11/05 오전 M3 원본 설정·M4 초기 복제</x:v>
      </x:c>
    </x:row>
    <x:row r="66" ht="31" customHeight="1">
      <x:c r="A66" s="66" t="str">
        <x:v>C10.4</x:v>
      </x:c>
      <x:c r="B66" s="67" t="str">
        <x:v>보안·검증</x:v>
      </x:c>
      <x:c r="C66" s="31" t="str">
        <x:v>S3 백업본·격리 복원 검증</x:v>
      </x:c>
      <x:c r="D66" s="31" t="str">
        <x:v>M4 박진혁</x:v>
      </x:c>
      <x:c r="E66" s="31" t="str">
        <x:v>—</x:v>
      </x:c>
      <x:c r="F66" s="41" t="n">
        <x:v>46332</x:v>
      </x:c>
      <x:c r="G66" s="41" t="n">
        <x:v>46332</x:v>
      </x:c>
      <x:c r="H66" s="42" t="str">
        <x:v>미확인</x:v>
      </x:c>
      <x:c r="I66" s="31" t="str">
        <x:v>C10.3, I31.3</x:v>
      </x:c>
      <x:c r="J66" s="65" t="str">
        <x:f>HYPERLINK($AW66,"#10 +1")</x:f>
        <x:v>#10 +1</x:v>
      </x:c>
      <x:c r="K66" s="34" t="str">
        <x:f>IF(AND(ISNUMBER($G66),K$9=$G66),"◆","")</x:f>
        <x:v/>
      </x:c>
      <x:c r="L66" s="74" t="str">
        <x:f>IF(AND(ISNUMBER($G66),L$9=$G66),"◆","")</x:f>
        <x:v/>
      </x:c>
      <x:c r="M66" s="34" t="str">
        <x:f>IF(AND(ISNUMBER($G66),M$9=$G66),"◆","")</x:f>
        <x:v/>
      </x:c>
      <x:c r="N66" s="34" t="str">
        <x:f>IF(AND(ISNUMBER($G66),N$9=$G66),"◆","")</x:f>
        <x:v/>
      </x:c>
      <x:c r="O66" s="76" t="str">
        <x:f>IF(AND(ISNUMBER($G66),O$9=$G66),"◆","")</x:f>
        <x:v/>
      </x:c>
      <x:c r="P66" s="76" t="str">
        <x:f>IF(AND(ISNUMBER($G66),P$9=$G66),"◆","")</x:f>
        <x:v/>
      </x:c>
      <x:c r="Q66" s="83" t="str">
        <x:f>IF(AND(ISNUMBER($G66),Q$9=$G66),"◆","")</x:f>
        <x:v/>
      </x:c>
      <x:c r="R66" s="34" t="str">
        <x:f>IF(AND(ISNUMBER($G66),R$9=$G66),"◆","")</x:f>
        <x:v/>
      </x:c>
      <x:c r="S66" s="34" t="str">
        <x:f>IF(AND(ISNUMBER($G66),S$9=$G66),"◆","")</x:f>
        <x:v/>
      </x:c>
      <x:c r="T66" s="34" t="str">
        <x:f>IF(AND(ISNUMBER($G66),T$9=$G66),"◆","")</x:f>
        <x:v/>
      </x:c>
      <x:c r="U66" s="34" t="str">
        <x:f>IF(AND(ISNUMBER($G66),U$9=$G66),"◆","")</x:f>
        <x:v/>
      </x:c>
      <x:c r="V66" s="76" t="str">
        <x:f>IF(AND(ISNUMBER($G66),V$9=$G66),"◆","")</x:f>
        <x:v/>
      </x:c>
      <x:c r="W66" s="86" t="str">
        <x:f>IF(AND(ISNUMBER($G66),W$9=$G66),"◆","")</x:f>
        <x:v/>
      </x:c>
      <x:c r="X66" s="83" t="str">
        <x:f>IF(AND(ISNUMBER($G66),X$9=$G66),"◆","")</x:f>
        <x:v/>
      </x:c>
      <x:c r="Y66" s="34" t="str">
        <x:f>IF(AND(ISNUMBER($G66),Y$9=$G66),"◆","")</x:f>
        <x:v/>
      </x:c>
      <x:c r="Z66" s="34" t="str">
        <x:f>IF(AND(ISNUMBER($G66),Z$9=$G66),"◆","")</x:f>
        <x:v/>
      </x:c>
      <x:c r="AA66" s="34" t="str">
        <x:f>IF(AND(ISNUMBER($G66),AA$9=$G66),"◆","")</x:f>
        <x:v/>
      </x:c>
      <x:c r="AB66" s="34" t="str">
        <x:f>IF(AND(ISNUMBER($G66),AB$9=$G66),"◆","")</x:f>
        <x:v>◆</x:v>
      </x:c>
      <x:c r="AC66" s="76" t="str">
        <x:f>IF(AND(ISNUMBER($G66),AC$9=$G66),"◆","")</x:f>
        <x:v/>
      </x:c>
      <x:c r="AD66" s="76" t="str">
        <x:f>IF(AND(ISNUMBER($G66),AD$9=$G66),"◆","")</x:f>
        <x:v/>
      </x:c>
      <x:c r="AE66" s="83" t="str">
        <x:f>IF(AND(ISNUMBER($G66),AE$9=$G66),"◆","")</x:f>
        <x:v/>
      </x:c>
      <x:c r="AF66" s="34" t="str">
        <x:f>IF(AND(ISNUMBER($G66),AF$9=$G66),"◆","")</x:f>
        <x:v/>
      </x:c>
      <x:c r="AG66" s="34" t="str">
        <x:f>IF(AND(ISNUMBER($G66),AG$9=$G66),"◆","")</x:f>
        <x:v/>
      </x:c>
      <x:c r="AH66" s="34" t="str">
        <x:f>IF(AND(ISNUMBER($G66),AH$9=$G66),"◆","")</x:f>
        <x:v/>
      </x:c>
      <x:c r="AI66" s="34" t="str">
        <x:f>IF(AND(ISNUMBER($G66),AI$9=$G66),"◆","")</x:f>
        <x:v/>
      </x:c>
      <x:c r="AJ66" s="76" t="str">
        <x:f>IF(AND(ISNUMBER($G66),AJ$9=$G66),"◆","")</x:f>
        <x:v/>
      </x:c>
      <x:c r="AK66" s="76" t="str">
        <x:f>IF(AND(ISNUMBER($G66),AK$9=$G66),"◆","")</x:f>
        <x:v/>
      </x:c>
      <x:c r="AL66" s="83" t="str">
        <x:f>IF(AND(ISNUMBER($G66),AL$9=$G66),"◆","")</x:f>
        <x:v/>
      </x:c>
      <x:c r="AM66" s="4" t="str">
        <x:v>05 개선 적용·통합</x:v>
      </x:c>
      <x:c r="AN66" s="49"/>
      <x:c r="AO66" s="49"/>
      <x:c r="AP66" s="4" t="str">
        <x:v>다운로드·해시·데이터 대조. 추가 원본 변경 필요 시 M3 협업.</x:v>
      </x:c>
      <x:c r="AQ66" s="4" t="str">
        <x:v>#10 OPEN 0/9; #31 OPEN 0/6</x:v>
      </x:c>
      <x:c r="AR66" s="4" t="n">
        <x:f>IF(OR(ISNUMBER(SEARCH(AR$9,$D66)),ISNUMBER(SEARCH(AR$9,$E66))),1*100000000+IF(ISNUMBER($F66),$F66,99999)*1000+ROW(),1000000000)</x:f>
        <x:v>1000000000.0</x:v>
      </x:c>
      <x:c r="AS66" s="4" t="n">
        <x:f>IF(OR(ISNUMBER(SEARCH(AS$9,$D66)),ISNUMBER(SEARCH(AS$9,$E66))),2*100000000+IF(ISNUMBER($F66),$F66,99999)*1000+ROW(),1000000000)</x:f>
        <x:v>1000000000.0</x:v>
      </x:c>
      <x:c r="AT66" s="4" t="n">
        <x:f>IF(OR(ISNUMBER(SEARCH(AT$9,$D66)),ISNUMBER(SEARCH(AT$9,$E66))),3*100000000+IF(ISNUMBER($F66),$F66,99999)*1000+ROW(),1000000000)</x:f>
        <x:v>1000000000.0</x:v>
      </x:c>
      <x:c r="AU66" s="4" t="n">
        <x:f>IF(OR(ISNUMBER(SEARCH(AU$9,$D66)),ISNUMBER(SEARCH(AU$9,$E66))),4*100000000+IF(ISNUMBER($F66),$F66,99999)*1000+ROW(),1000000000)</x:f>
        <x:v>446332066.0</x:v>
      </x:c>
      <x:c r="AV66" s="4" t="n">
        <x:f>IF(OR(ISNUMBER(SEARCH(AV$9,$D66)),ISNUMBER(SEARCH(AV$9,$E66))),5*100000000+IF(ISNUMBER($F66),$F66,99999)*1000+ROW(),1000000000)</x:f>
        <x:v>1000000000.0</x:v>
      </x:c>
      <x:c r="AW66" s="4" t="str">
        <x:v>https://github.com/team-blocks-lab/otter-shield/issues/10</x:v>
      </x:c>
      <x:c r="AX66" s="4" t="str">
        <x:v>#10; #31</x:v>
      </x:c>
      <x:c r="AY66" s="106" t="str">
        <x:v>S3 다운로드·별도 복원 / 해시·데이터 대조</x:v>
      </x:c>
    </x:row>
    <x:row r="67" ht="31" customHeight="1">
      <x:c r="A67" s="66" t="str">
        <x:v>I16.3</x:v>
      </x:c>
      <x:c r="B67" s="67" t="str">
        <x:v>보안·검증</x:v>
      </x:c>
      <x:c r="C67" s="31" t="str">
        <x:v>M1 개선 설정 통합·정상 통신 검증</x:v>
      </x:c>
      <x:c r="D67" s="31" t="str">
        <x:v>M1 유용수</x:v>
      </x:c>
      <x:c r="E67" s="31" t="str">
        <x:v>—</x:v>
      </x:c>
      <x:c r="F67" s="41" t="n">
        <x:v>46332</x:v>
      </x:c>
      <x:c r="G67" s="41" t="n">
        <x:v>46332</x:v>
      </x:c>
      <x:c r="H67" s="42" t="str">
        <x:v>미확인</x:v>
      </x:c>
      <x:c r="I67" s="31" t="str">
        <x:v>I16.2</x:v>
      </x:c>
      <x:c r="J67" s="65" t="str">
        <x:f>HYPERLINK($AW67,"#16")</x:f>
        <x:v>#16</x:v>
      </x:c>
      <x:c r="K67" s="34" t="str">
        <x:f>IF(AND(ISNUMBER($G67),K$9=$G67),"◆","")</x:f>
        <x:v/>
      </x:c>
      <x:c r="L67" s="74" t="str">
        <x:f>IF(AND(ISNUMBER($G67),L$9=$G67),"◆","")</x:f>
        <x:v/>
      </x:c>
      <x:c r="M67" s="34" t="str">
        <x:f>IF(AND(ISNUMBER($G67),M$9=$G67),"◆","")</x:f>
        <x:v/>
      </x:c>
      <x:c r="N67" s="34" t="str">
        <x:f>IF(AND(ISNUMBER($G67),N$9=$G67),"◆","")</x:f>
        <x:v/>
      </x:c>
      <x:c r="O67" s="76" t="str">
        <x:f>IF(AND(ISNUMBER($G67),O$9=$G67),"◆","")</x:f>
        <x:v/>
      </x:c>
      <x:c r="P67" s="76" t="str">
        <x:f>IF(AND(ISNUMBER($G67),P$9=$G67),"◆","")</x:f>
        <x:v/>
      </x:c>
      <x:c r="Q67" s="83" t="str">
        <x:f>IF(AND(ISNUMBER($G67),Q$9=$G67),"◆","")</x:f>
        <x:v/>
      </x:c>
      <x:c r="R67" s="34" t="str">
        <x:f>IF(AND(ISNUMBER($G67),R$9=$G67),"◆","")</x:f>
        <x:v/>
      </x:c>
      <x:c r="S67" s="34" t="str">
        <x:f>IF(AND(ISNUMBER($G67),S$9=$G67),"◆","")</x:f>
        <x:v/>
      </x:c>
      <x:c r="T67" s="34" t="str">
        <x:f>IF(AND(ISNUMBER($G67),T$9=$G67),"◆","")</x:f>
        <x:v/>
      </x:c>
      <x:c r="U67" s="34" t="str">
        <x:f>IF(AND(ISNUMBER($G67),U$9=$G67),"◆","")</x:f>
        <x:v/>
      </x:c>
      <x:c r="V67" s="76" t="str">
        <x:f>IF(AND(ISNUMBER($G67),V$9=$G67),"◆","")</x:f>
        <x:v/>
      </x:c>
      <x:c r="W67" s="86" t="str">
        <x:f>IF(AND(ISNUMBER($G67),W$9=$G67),"◆","")</x:f>
        <x:v/>
      </x:c>
      <x:c r="X67" s="83" t="str">
        <x:f>IF(AND(ISNUMBER($G67),X$9=$G67),"◆","")</x:f>
        <x:v/>
      </x:c>
      <x:c r="Y67" s="34" t="str">
        <x:f>IF(AND(ISNUMBER($G67),Y$9=$G67),"◆","")</x:f>
        <x:v/>
      </x:c>
      <x:c r="Z67" s="34" t="str">
        <x:f>IF(AND(ISNUMBER($G67),Z$9=$G67),"◆","")</x:f>
        <x:v/>
      </x:c>
      <x:c r="AA67" s="34" t="str">
        <x:f>IF(AND(ISNUMBER($G67),AA$9=$G67),"◆","")</x:f>
        <x:v/>
      </x:c>
      <x:c r="AB67" s="34" t="str">
        <x:f>IF(AND(ISNUMBER($G67),AB$9=$G67),"◆","")</x:f>
        <x:v>◆</x:v>
      </x:c>
      <x:c r="AC67" s="76" t="str">
        <x:f>IF(AND(ISNUMBER($G67),AC$9=$G67),"◆","")</x:f>
        <x:v/>
      </x:c>
      <x:c r="AD67" s="76" t="str">
        <x:f>IF(AND(ISNUMBER($G67),AD$9=$G67),"◆","")</x:f>
        <x:v/>
      </x:c>
      <x:c r="AE67" s="83" t="str">
        <x:f>IF(AND(ISNUMBER($G67),AE$9=$G67),"◆","")</x:f>
        <x:v/>
      </x:c>
      <x:c r="AF67" s="34" t="str">
        <x:f>IF(AND(ISNUMBER($G67),AF$9=$G67),"◆","")</x:f>
        <x:v/>
      </x:c>
      <x:c r="AG67" s="34" t="str">
        <x:f>IF(AND(ISNUMBER($G67),AG$9=$G67),"◆","")</x:f>
        <x:v/>
      </x:c>
      <x:c r="AH67" s="34" t="str">
        <x:f>IF(AND(ISNUMBER($G67),AH$9=$G67),"◆","")</x:f>
        <x:v/>
      </x:c>
      <x:c r="AI67" s="34" t="str">
        <x:f>IF(AND(ISNUMBER($G67),AI$9=$G67),"◆","")</x:f>
        <x:v/>
      </x:c>
      <x:c r="AJ67" s="76" t="str">
        <x:f>IF(AND(ISNUMBER($G67),AJ$9=$G67),"◆","")</x:f>
        <x:v/>
      </x:c>
      <x:c r="AK67" s="76" t="str">
        <x:f>IF(AND(ISNUMBER($G67),AK$9=$G67),"◆","")</x:f>
        <x:v/>
      </x:c>
      <x:c r="AL67" s="83" t="str">
        <x:f>IF(AND(ISNUMBER($G67),AL$9=$G67),"◆","")</x:f>
        <x:v/>
      </x:c>
      <x:c r="AM67" s="4" t="str">
        <x:v>05 개선 적용·통합</x:v>
      </x:c>
      <x:c r="AN67" s="49"/>
      <x:c r="AO67" s="49"/>
      <x:c r="AP67" s="4" t="str">
        <x:v>설정·토폴로지·정상 동작·롤백·재시험 조건 확인. 공동 앱 회귀 테스트는 D8.</x:v>
      </x:c>
      <x:c r="AQ67" s="4" t="str">
        <x:v>#16 OPEN 0/4</x:v>
      </x:c>
      <x:c r="AR67" s="4" t="n">
        <x:f>IF(OR(ISNUMBER(SEARCH(AR$9,$D67)),ISNUMBER(SEARCH(AR$9,$E67))),1*100000000+IF(ISNUMBER($F67),$F67,99999)*1000+ROW(),1000000000)</x:f>
        <x:v>146332067.0</x:v>
      </x:c>
      <x:c r="AS67" s="4" t="n">
        <x:f>IF(OR(ISNUMBER(SEARCH(AS$9,$D67)),ISNUMBER(SEARCH(AS$9,$E67))),2*100000000+IF(ISNUMBER($F67),$F67,99999)*1000+ROW(),1000000000)</x:f>
        <x:v>1000000000.0</x:v>
      </x:c>
      <x:c r="AT67" s="4" t="n">
        <x:f>IF(OR(ISNUMBER(SEARCH(AT$9,$D67)),ISNUMBER(SEARCH(AT$9,$E67))),3*100000000+IF(ISNUMBER($F67),$F67,99999)*1000+ROW(),1000000000)</x:f>
        <x:v>1000000000.0</x:v>
      </x:c>
      <x:c r="AU67" s="4" t="n">
        <x:f>IF(OR(ISNUMBER(SEARCH(AU$9,$D67)),ISNUMBER(SEARCH(AU$9,$E67))),4*100000000+IF(ISNUMBER($F67),$F67,99999)*1000+ROW(),1000000000)</x:f>
        <x:v>1000000000.0</x:v>
      </x:c>
      <x:c r="AV67" s="4" t="n">
        <x:f>IF(OR(ISNUMBER(SEARCH(AV$9,$D67)),ISNUMBER(SEARCH(AV$9,$E67))),5*100000000+IF(ISNUMBER($F67),$F67,99999)*1000+ROW(),1000000000)</x:f>
        <x:v>1000000000.0</x:v>
      </x:c>
      <x:c r="AW67" s="4" t="str">
        <x:v>https://github.com/team-blocks-lab/otter-shield/issues/16</x:v>
      </x:c>
      <x:c r="AX67" s="4" t="str">
        <x:v>#16</x:v>
      </x:c>
      <x:c r="AY67" s="106" t="str">
        <x:v>완료 후</x:v>
      </x:c>
    </x:row>
    <x:row r="68" ht="31" customHeight="1">
      <x:c r="A68" s="66" t="str">
        <x:v>I21.3</x:v>
      </x:c>
      <x:c r="B68" s="67" t="str">
        <x:v>보안·검증</x:v>
      </x:c>
      <x:c r="C68" s="31" t="str">
        <x:v>독일 탐지·차단 해제·정상 동작 검증</x:v>
      </x:c>
      <x:c r="D68" s="31" t="str">
        <x:v>M2 윤서영</x:v>
      </x:c>
      <x:c r="E68" s="31" t="str">
        <x:v>M1 유용수</x:v>
      </x:c>
      <x:c r="F68" s="41" t="n">
        <x:v>46332</x:v>
      </x:c>
      <x:c r="G68" s="41" t="n">
        <x:v>46332</x:v>
      </x:c>
      <x:c r="H68" s="42" t="str">
        <x:v>미확인</x:v>
      </x:c>
      <x:c r="I68" s="31" t="str">
        <x:v>I21.2</x:v>
      </x:c>
      <x:c r="J68" s="65" t="str">
        <x:f>HYPERLINK($AW68,"#21 +1")</x:f>
        <x:v>#21 +1</x:v>
      </x:c>
      <x:c r="K68" s="34" t="str">
        <x:f>IF(AND(ISNUMBER($G68),K$9=$G68),"◆","")</x:f>
        <x:v/>
      </x:c>
      <x:c r="L68" s="74" t="str">
        <x:f>IF(AND(ISNUMBER($G68),L$9=$G68),"◆","")</x:f>
        <x:v/>
      </x:c>
      <x:c r="M68" s="34" t="str">
        <x:f>IF(AND(ISNUMBER($G68),M$9=$G68),"◆","")</x:f>
        <x:v/>
      </x:c>
      <x:c r="N68" s="34" t="str">
        <x:f>IF(AND(ISNUMBER($G68),N$9=$G68),"◆","")</x:f>
        <x:v/>
      </x:c>
      <x:c r="O68" s="76" t="str">
        <x:f>IF(AND(ISNUMBER($G68),O$9=$G68),"◆","")</x:f>
        <x:v/>
      </x:c>
      <x:c r="P68" s="76" t="str">
        <x:f>IF(AND(ISNUMBER($G68),P$9=$G68),"◆","")</x:f>
        <x:v/>
      </x:c>
      <x:c r="Q68" s="83" t="str">
        <x:f>IF(AND(ISNUMBER($G68),Q$9=$G68),"◆","")</x:f>
        <x:v/>
      </x:c>
      <x:c r="R68" s="34" t="str">
        <x:f>IF(AND(ISNUMBER($G68),R$9=$G68),"◆","")</x:f>
        <x:v/>
      </x:c>
      <x:c r="S68" s="34" t="str">
        <x:f>IF(AND(ISNUMBER($G68),S$9=$G68),"◆","")</x:f>
        <x:v/>
      </x:c>
      <x:c r="T68" s="34" t="str">
        <x:f>IF(AND(ISNUMBER($G68),T$9=$G68),"◆","")</x:f>
        <x:v/>
      </x:c>
      <x:c r="U68" s="34" t="str">
        <x:f>IF(AND(ISNUMBER($G68),U$9=$G68),"◆","")</x:f>
        <x:v/>
      </x:c>
      <x:c r="V68" s="76" t="str">
        <x:f>IF(AND(ISNUMBER($G68),V$9=$G68),"◆","")</x:f>
        <x:v/>
      </x:c>
      <x:c r="W68" s="86" t="str">
        <x:f>IF(AND(ISNUMBER($G68),W$9=$G68),"◆","")</x:f>
        <x:v/>
      </x:c>
      <x:c r="X68" s="83" t="str">
        <x:f>IF(AND(ISNUMBER($G68),X$9=$G68),"◆","")</x:f>
        <x:v/>
      </x:c>
      <x:c r="Y68" s="34" t="str">
        <x:f>IF(AND(ISNUMBER($G68),Y$9=$G68),"◆","")</x:f>
        <x:v/>
      </x:c>
      <x:c r="Z68" s="34" t="str">
        <x:f>IF(AND(ISNUMBER($G68),Z$9=$G68),"◆","")</x:f>
        <x:v/>
      </x:c>
      <x:c r="AA68" s="34" t="str">
        <x:f>IF(AND(ISNUMBER($G68),AA$9=$G68),"◆","")</x:f>
        <x:v/>
      </x:c>
      <x:c r="AB68" s="34" t="str">
        <x:f>IF(AND(ISNUMBER($G68),AB$9=$G68),"◆","")</x:f>
        <x:v>◆</x:v>
      </x:c>
      <x:c r="AC68" s="76" t="str">
        <x:f>IF(AND(ISNUMBER($G68),AC$9=$G68),"◆","")</x:f>
        <x:v/>
      </x:c>
      <x:c r="AD68" s="76" t="str">
        <x:f>IF(AND(ISNUMBER($G68),AD$9=$G68),"◆","")</x:f>
        <x:v/>
      </x:c>
      <x:c r="AE68" s="83" t="str">
        <x:f>IF(AND(ISNUMBER($G68),AE$9=$G68),"◆","")</x:f>
        <x:v/>
      </x:c>
      <x:c r="AF68" s="34" t="str">
        <x:f>IF(AND(ISNUMBER($G68),AF$9=$G68),"◆","")</x:f>
        <x:v/>
      </x:c>
      <x:c r="AG68" s="34" t="str">
        <x:f>IF(AND(ISNUMBER($G68),AG$9=$G68),"◆","")</x:f>
        <x:v/>
      </x:c>
      <x:c r="AH68" s="34" t="str">
        <x:f>IF(AND(ISNUMBER($G68),AH$9=$G68),"◆","")</x:f>
        <x:v/>
      </x:c>
      <x:c r="AI68" s="34" t="str">
        <x:f>IF(AND(ISNUMBER($G68),AI$9=$G68),"◆","")</x:f>
        <x:v/>
      </x:c>
      <x:c r="AJ68" s="76" t="str">
        <x:f>IF(AND(ISNUMBER($G68),AJ$9=$G68),"◆","")</x:f>
        <x:v/>
      </x:c>
      <x:c r="AK68" s="76" t="str">
        <x:f>IF(AND(ISNUMBER($G68),AK$9=$G68),"◆","")</x:f>
        <x:v/>
      </x:c>
      <x:c r="AL68" s="83" t="str">
        <x:f>IF(AND(ISNUMBER($G68),AL$9=$G68),"◆","")</x:f>
        <x:v/>
      </x:c>
      <x:c r="AM68" s="4" t="str">
        <x:v>05 개선 적용·통합</x:v>
      </x:c>
      <x:c r="AN68" s="49"/>
      <x:c r="AO68" s="49"/>
      <x:c r="AP68" s="4" t="str">
        <x:v>설정·토폴로지·정상 동작·롤백·재시험 조건 확인. 공동 앱 회귀 테스트는 D8.</x:v>
      </x:c>
      <x:c r="AQ68" s="4" t="str">
        <x:v>#21 OPEN 0/8; #9 OPEN 0/5</x:v>
      </x:c>
      <x:c r="AR68" s="4" t="n">
        <x:f>IF(OR(ISNUMBER(SEARCH(AR$9,$D68)),ISNUMBER(SEARCH(AR$9,$E68))),1*100000000+IF(ISNUMBER($F68),$F68,99999)*1000+ROW(),1000000000)</x:f>
        <x:v>146332068.0</x:v>
      </x:c>
      <x:c r="AS68" s="4" t="n">
        <x:f>IF(OR(ISNUMBER(SEARCH(AS$9,$D68)),ISNUMBER(SEARCH(AS$9,$E68))),2*100000000+IF(ISNUMBER($F68),$F68,99999)*1000+ROW(),1000000000)</x:f>
        <x:v>246332068.0</x:v>
      </x:c>
      <x:c r="AT68" s="4" t="n">
        <x:f>IF(OR(ISNUMBER(SEARCH(AT$9,$D68)),ISNUMBER(SEARCH(AT$9,$E68))),3*100000000+IF(ISNUMBER($F68),$F68,99999)*1000+ROW(),1000000000)</x:f>
        <x:v>1000000000.0</x:v>
      </x:c>
      <x:c r="AU68" s="4" t="n">
        <x:f>IF(OR(ISNUMBER(SEARCH(AU$9,$D68)),ISNUMBER(SEARCH(AU$9,$E68))),4*100000000+IF(ISNUMBER($F68),$F68,99999)*1000+ROW(),1000000000)</x:f>
        <x:v>1000000000.0</x:v>
      </x:c>
      <x:c r="AV68" s="4" t="n">
        <x:f>IF(OR(ISNUMBER(SEARCH(AV$9,$D68)),ISNUMBER(SEARCH(AV$9,$E68))),5*100000000+IF(ISNUMBER($F68),$F68,99999)*1000+ROW(),1000000000)</x:f>
        <x:v>1000000000.0</x:v>
      </x:c>
      <x:c r="AW68" s="4" t="str">
        <x:v>https://github.com/team-blocks-lab/otter-shield/issues/21</x:v>
      </x:c>
      <x:c r="AX68" s="4" t="str">
        <x:v>#21; #9</x:v>
      </x:c>
      <x:c r="AY68" s="106" t="str">
        <x:v>완료 후</x:v>
      </x:c>
    </x:row>
    <x:row r="69" ht="31" customHeight="1">
      <x:c r="A69" s="66" t="str">
        <x:v>I26.4</x:v>
      </x:c>
      <x:c r="B69" s="67" t="str">
        <x:v>보안·검증</x:v>
      </x:c>
      <x:c r="C69" s="31" t="str">
        <x:v>M3 개선 설정 통합 검증</x:v>
      </x:c>
      <x:c r="D69" s="31" t="str">
        <x:v>M3 홍은서(PL)</x:v>
      </x:c>
      <x:c r="E69" s="31" t="str">
        <x:v>M5 유은혜</x:v>
      </x:c>
      <x:c r="F69" s="41" t="n">
        <x:v>46332</x:v>
      </x:c>
      <x:c r="G69" s="41" t="n">
        <x:v>46332</x:v>
      </x:c>
      <x:c r="H69" s="42" t="str">
        <x:v>미확인</x:v>
      </x:c>
      <x:c r="I69" s="31" t="str">
        <x:v>I26.2, I26.3, D6.2, D7</x:v>
      </x:c>
      <x:c r="J69" s="65" t="str">
        <x:f>HYPERLINK($AW69,"#26")</x:f>
        <x:v>#26</x:v>
      </x:c>
      <x:c r="K69" s="34" t="str">
        <x:f>IF(AND(ISNUMBER($G69),K$9=$G69),"◆","")</x:f>
        <x:v/>
      </x:c>
      <x:c r="L69" s="74" t="str">
        <x:f>IF(AND(ISNUMBER($G69),L$9=$G69),"◆","")</x:f>
        <x:v/>
      </x:c>
      <x:c r="M69" s="34" t="str">
        <x:f>IF(AND(ISNUMBER($G69),M$9=$G69),"◆","")</x:f>
        <x:v/>
      </x:c>
      <x:c r="N69" s="34" t="str">
        <x:f>IF(AND(ISNUMBER($G69),N$9=$G69),"◆","")</x:f>
        <x:v/>
      </x:c>
      <x:c r="O69" s="76" t="str">
        <x:f>IF(AND(ISNUMBER($G69),O$9=$G69),"◆","")</x:f>
        <x:v/>
      </x:c>
      <x:c r="P69" s="76" t="str">
        <x:f>IF(AND(ISNUMBER($G69),P$9=$G69),"◆","")</x:f>
        <x:v/>
      </x:c>
      <x:c r="Q69" s="83" t="str">
        <x:f>IF(AND(ISNUMBER($G69),Q$9=$G69),"◆","")</x:f>
        <x:v/>
      </x:c>
      <x:c r="R69" s="34" t="str">
        <x:f>IF(AND(ISNUMBER($G69),R$9=$G69),"◆","")</x:f>
        <x:v/>
      </x:c>
      <x:c r="S69" s="34" t="str">
        <x:f>IF(AND(ISNUMBER($G69),S$9=$G69),"◆","")</x:f>
        <x:v/>
      </x:c>
      <x:c r="T69" s="34" t="str">
        <x:f>IF(AND(ISNUMBER($G69),T$9=$G69),"◆","")</x:f>
        <x:v/>
      </x:c>
      <x:c r="U69" s="34" t="str">
        <x:f>IF(AND(ISNUMBER($G69),U$9=$G69),"◆","")</x:f>
        <x:v/>
      </x:c>
      <x:c r="V69" s="76" t="str">
        <x:f>IF(AND(ISNUMBER($G69),V$9=$G69),"◆","")</x:f>
        <x:v/>
      </x:c>
      <x:c r="W69" s="86" t="str">
        <x:f>IF(AND(ISNUMBER($G69),W$9=$G69),"◆","")</x:f>
        <x:v/>
      </x:c>
      <x:c r="X69" s="83" t="str">
        <x:f>IF(AND(ISNUMBER($G69),X$9=$G69),"◆","")</x:f>
        <x:v/>
      </x:c>
      <x:c r="Y69" s="34" t="str">
        <x:f>IF(AND(ISNUMBER($G69),Y$9=$G69),"◆","")</x:f>
        <x:v/>
      </x:c>
      <x:c r="Z69" s="34" t="str">
        <x:f>IF(AND(ISNUMBER($G69),Z$9=$G69),"◆","")</x:f>
        <x:v/>
      </x:c>
      <x:c r="AA69" s="34" t="str">
        <x:f>IF(AND(ISNUMBER($G69),AA$9=$G69),"◆","")</x:f>
        <x:v/>
      </x:c>
      <x:c r="AB69" s="34" t="str">
        <x:f>IF(AND(ISNUMBER($G69),AB$9=$G69),"◆","")</x:f>
        <x:v>◆</x:v>
      </x:c>
      <x:c r="AC69" s="76" t="str">
        <x:f>IF(AND(ISNUMBER($G69),AC$9=$G69),"◆","")</x:f>
        <x:v/>
      </x:c>
      <x:c r="AD69" s="76" t="str">
        <x:f>IF(AND(ISNUMBER($G69),AD$9=$G69),"◆","")</x:f>
        <x:v/>
      </x:c>
      <x:c r="AE69" s="83" t="str">
        <x:f>IF(AND(ISNUMBER($G69),AE$9=$G69),"◆","")</x:f>
        <x:v/>
      </x:c>
      <x:c r="AF69" s="34" t="str">
        <x:f>IF(AND(ISNUMBER($G69),AF$9=$G69),"◆","")</x:f>
        <x:v/>
      </x:c>
      <x:c r="AG69" s="34" t="str">
        <x:f>IF(AND(ISNUMBER($G69),AG$9=$G69),"◆","")</x:f>
        <x:v/>
      </x:c>
      <x:c r="AH69" s="34" t="str">
        <x:f>IF(AND(ISNUMBER($G69),AH$9=$G69),"◆","")</x:f>
        <x:v/>
      </x:c>
      <x:c r="AI69" s="34" t="str">
        <x:f>IF(AND(ISNUMBER($G69),AI$9=$G69),"◆","")</x:f>
        <x:v/>
      </x:c>
      <x:c r="AJ69" s="76" t="str">
        <x:f>IF(AND(ISNUMBER($G69),AJ$9=$G69),"◆","")</x:f>
        <x:v/>
      </x:c>
      <x:c r="AK69" s="76" t="str">
        <x:f>IF(AND(ISNUMBER($G69),AK$9=$G69),"◆","")</x:f>
        <x:v/>
      </x:c>
      <x:c r="AL69" s="83" t="str">
        <x:f>IF(AND(ISNUMBER($G69),AL$9=$G69),"◆","")</x:f>
        <x:v/>
      </x:c>
      <x:c r="AM69" s="4" t="str">
        <x:v>05 개선 적용·통합</x:v>
      </x:c>
      <x:c r="AN69" s="49"/>
      <x:c r="AO69" s="49"/>
      <x:c r="AP69" s="4" t="str">
        <x:v>설정·토폴로지·정상 동작·롤백·재시험 조건 확인. 공동 앱 회귀 테스트는 D8.</x:v>
      </x:c>
      <x:c r="AQ69" s="4" t="str">
        <x:v>#26 OPEN 0/11</x:v>
      </x:c>
      <x:c r="AR69" s="4" t="n">
        <x:f>IF(OR(ISNUMBER(SEARCH(AR$9,$D69)),ISNUMBER(SEARCH(AR$9,$E69))),1*100000000+IF(ISNUMBER($F69),$F69,99999)*1000+ROW(),1000000000)</x:f>
        <x:v>1000000000.0</x:v>
      </x:c>
      <x:c r="AS69" s="4" t="n">
        <x:f>IF(OR(ISNUMBER(SEARCH(AS$9,$D69)),ISNUMBER(SEARCH(AS$9,$E69))),2*100000000+IF(ISNUMBER($F69),$F69,99999)*1000+ROW(),1000000000)</x:f>
        <x:v>1000000000.0</x:v>
      </x:c>
      <x:c r="AT69" s="4" t="n">
        <x:f>IF(OR(ISNUMBER(SEARCH(AT$9,$D69)),ISNUMBER(SEARCH(AT$9,$E69))),3*100000000+IF(ISNUMBER($F69),$F69,99999)*1000+ROW(),1000000000)</x:f>
        <x:v>346332069.0</x:v>
      </x:c>
      <x:c r="AU69" s="4" t="n">
        <x:f>IF(OR(ISNUMBER(SEARCH(AU$9,$D69)),ISNUMBER(SEARCH(AU$9,$E69))),4*100000000+IF(ISNUMBER($F69),$F69,99999)*1000+ROW(),1000000000)</x:f>
        <x:v>1000000000.0</x:v>
      </x:c>
      <x:c r="AV69" s="4" t="n">
        <x:f>IF(OR(ISNUMBER(SEARCH(AV$9,$D69)),ISNUMBER(SEARCH(AV$9,$E69))),5*100000000+IF(ISNUMBER($F69),$F69,99999)*1000+ROW(),1000000000)</x:f>
        <x:v>546332069.0</x:v>
      </x:c>
      <x:c r="AW69" s="4" t="str">
        <x:v>https://github.com/team-blocks-lab/otter-shield/issues/26</x:v>
      </x:c>
      <x:c r="AX69" s="4" t="str">
        <x:v>#26</x:v>
      </x:c>
      <x:c r="AY69" s="106" t="str">
        <x:v>완료 후</x:v>
      </x:c>
    </x:row>
    <x:row r="70" ht="31" customHeight="1">
      <x:c r="A70" s="66" t="str">
        <x:v>I36.2</x:v>
      </x:c>
      <x:c r="B70" s="67" t="str">
        <x:v>보안·검증</x:v>
      </x:c>
      <x:c r="C70" s="31" t="str">
        <x:v>S05 접근제어·캐나다 통신 경로 검증</x:v>
      </x:c>
      <x:c r="D70" s="31" t="str">
        <x:v>M5 유은혜(PM)</x:v>
      </x:c>
      <x:c r="E70" s="31" t="str">
        <x:v>M3 홍은서</x:v>
      </x:c>
      <x:c r="F70" s="41" t="n">
        <x:v>46332</x:v>
      </x:c>
      <x:c r="G70" s="41" t="n">
        <x:v>46332</x:v>
      </x:c>
      <x:c r="H70" s="42" t="str">
        <x:v>미확인</x:v>
      </x:c>
      <x:c r="I70" s="31" t="str">
        <x:v>I26.2, I36.1</x:v>
      </x:c>
      <x:c r="J70" s="65" t="str">
        <x:f>HYPERLINK($AW70,"#36")</x:f>
        <x:v>#36</x:v>
      </x:c>
      <x:c r="K70" s="34" t="str">
        <x:f>IF(AND(ISNUMBER($G70),K$9=$G70),"◆","")</x:f>
        <x:v/>
      </x:c>
      <x:c r="L70" s="74" t="str">
        <x:f>IF(AND(ISNUMBER($G70),L$9=$G70),"◆","")</x:f>
        <x:v/>
      </x:c>
      <x:c r="M70" s="34" t="str">
        <x:f>IF(AND(ISNUMBER($G70),M$9=$G70),"◆","")</x:f>
        <x:v/>
      </x:c>
      <x:c r="N70" s="34" t="str">
        <x:f>IF(AND(ISNUMBER($G70),N$9=$G70),"◆","")</x:f>
        <x:v/>
      </x:c>
      <x:c r="O70" s="76" t="str">
        <x:f>IF(AND(ISNUMBER($G70),O$9=$G70),"◆","")</x:f>
        <x:v/>
      </x:c>
      <x:c r="P70" s="76" t="str">
        <x:f>IF(AND(ISNUMBER($G70),P$9=$G70),"◆","")</x:f>
        <x:v/>
      </x:c>
      <x:c r="Q70" s="83" t="str">
        <x:f>IF(AND(ISNUMBER($G70),Q$9=$G70),"◆","")</x:f>
        <x:v/>
      </x:c>
      <x:c r="R70" s="34" t="str">
        <x:f>IF(AND(ISNUMBER($G70),R$9=$G70),"◆","")</x:f>
        <x:v/>
      </x:c>
      <x:c r="S70" s="34" t="str">
        <x:f>IF(AND(ISNUMBER($G70),S$9=$G70),"◆","")</x:f>
        <x:v/>
      </x:c>
      <x:c r="T70" s="34" t="str">
        <x:f>IF(AND(ISNUMBER($G70),T$9=$G70),"◆","")</x:f>
        <x:v/>
      </x:c>
      <x:c r="U70" s="34" t="str">
        <x:f>IF(AND(ISNUMBER($G70),U$9=$G70),"◆","")</x:f>
        <x:v/>
      </x:c>
      <x:c r="V70" s="76" t="str">
        <x:f>IF(AND(ISNUMBER($G70),V$9=$G70),"◆","")</x:f>
        <x:v/>
      </x:c>
      <x:c r="W70" s="86" t="str">
        <x:f>IF(AND(ISNUMBER($G70),W$9=$G70),"◆","")</x:f>
        <x:v/>
      </x:c>
      <x:c r="X70" s="83" t="str">
        <x:f>IF(AND(ISNUMBER($G70),X$9=$G70),"◆","")</x:f>
        <x:v/>
      </x:c>
      <x:c r="Y70" s="34" t="str">
        <x:f>IF(AND(ISNUMBER($G70),Y$9=$G70),"◆","")</x:f>
        <x:v/>
      </x:c>
      <x:c r="Z70" s="34" t="str">
        <x:f>IF(AND(ISNUMBER($G70),Z$9=$G70),"◆","")</x:f>
        <x:v/>
      </x:c>
      <x:c r="AA70" s="34" t="str">
        <x:f>IF(AND(ISNUMBER($G70),AA$9=$G70),"◆","")</x:f>
        <x:v/>
      </x:c>
      <x:c r="AB70" s="34" t="str">
        <x:f>IF(AND(ISNUMBER($G70),AB$9=$G70),"◆","")</x:f>
        <x:v>◆</x:v>
      </x:c>
      <x:c r="AC70" s="76" t="str">
        <x:f>IF(AND(ISNUMBER($G70),AC$9=$G70),"◆","")</x:f>
        <x:v/>
      </x:c>
      <x:c r="AD70" s="76" t="str">
        <x:f>IF(AND(ISNUMBER($G70),AD$9=$G70),"◆","")</x:f>
        <x:v/>
      </x:c>
      <x:c r="AE70" s="83" t="str">
        <x:f>IF(AND(ISNUMBER($G70),AE$9=$G70),"◆","")</x:f>
        <x:v/>
      </x:c>
      <x:c r="AF70" s="34" t="str">
        <x:f>IF(AND(ISNUMBER($G70),AF$9=$G70),"◆","")</x:f>
        <x:v/>
      </x:c>
      <x:c r="AG70" s="34" t="str">
        <x:f>IF(AND(ISNUMBER($G70),AG$9=$G70),"◆","")</x:f>
        <x:v/>
      </x:c>
      <x:c r="AH70" s="34" t="str">
        <x:f>IF(AND(ISNUMBER($G70),AH$9=$G70),"◆","")</x:f>
        <x:v/>
      </x:c>
      <x:c r="AI70" s="34" t="str">
        <x:f>IF(AND(ISNUMBER($G70),AI$9=$G70),"◆","")</x:f>
        <x:v/>
      </x:c>
      <x:c r="AJ70" s="76" t="str">
        <x:f>IF(AND(ISNUMBER($G70),AJ$9=$G70),"◆","")</x:f>
        <x:v/>
      </x:c>
      <x:c r="AK70" s="76" t="str">
        <x:f>IF(AND(ISNUMBER($G70),AK$9=$G70),"◆","")</x:f>
        <x:v/>
      </x:c>
      <x:c r="AL70" s="83" t="str">
        <x:f>IF(AND(ISNUMBER($G70),AL$9=$G70),"◆","")</x:f>
        <x:v/>
      </x:c>
      <x:c r="AM70" s="4" t="str">
        <x:v>05 개선 적용·통합</x:v>
      </x:c>
      <x:c r="AN70" s="49"/>
      <x:c r="AO70" s="49"/>
      <x:c r="AP70" s="4" t="str">
        <x:v>설정·토폴로지·정상 동작·롤백·재시험 조건 확인. 공동 앱 회귀 테스트는 D8.</x:v>
      </x:c>
      <x:c r="AQ70" s="4" t="str">
        <x:v>#36 OPEN 0/8</x:v>
      </x:c>
      <x:c r="AR70" s="4" t="n">
        <x:f>IF(OR(ISNUMBER(SEARCH(AR$9,$D70)),ISNUMBER(SEARCH(AR$9,$E70))),1*100000000+IF(ISNUMBER($F70),$F70,99999)*1000+ROW(),1000000000)</x:f>
        <x:v>1000000000.0</x:v>
      </x:c>
      <x:c r="AS70" s="4" t="n">
        <x:f>IF(OR(ISNUMBER(SEARCH(AS$9,$D70)),ISNUMBER(SEARCH(AS$9,$E70))),2*100000000+IF(ISNUMBER($F70),$F70,99999)*1000+ROW(),1000000000)</x:f>
        <x:v>1000000000.0</x:v>
      </x:c>
      <x:c r="AT70" s="4" t="n">
        <x:f>IF(OR(ISNUMBER(SEARCH(AT$9,$D70)),ISNUMBER(SEARCH(AT$9,$E70))),3*100000000+IF(ISNUMBER($F70),$F70,99999)*1000+ROW(),1000000000)</x:f>
        <x:v>346332070.0</x:v>
      </x:c>
      <x:c r="AU70" s="4" t="n">
        <x:f>IF(OR(ISNUMBER(SEARCH(AU$9,$D70)),ISNUMBER(SEARCH(AU$9,$E70))),4*100000000+IF(ISNUMBER($F70),$F70,99999)*1000+ROW(),1000000000)</x:f>
        <x:v>1000000000.0</x:v>
      </x:c>
      <x:c r="AV70" s="4" t="n">
        <x:f>IF(OR(ISNUMBER(SEARCH(AV$9,$D70)),ISNUMBER(SEARCH(AV$9,$E70))),5*100000000+IF(ISNUMBER($F70),$F70,99999)*1000+ROW(),1000000000)</x:f>
        <x:v>546332070.0</x:v>
      </x:c>
      <x:c r="AW70" s="4" t="str">
        <x:v>https://github.com/team-blocks-lab/otter-shield/issues/36</x:v>
      </x:c>
      <x:c r="AX70" s="4" t="str">
        <x:v>#36</x:v>
      </x:c>
      <x:c r="AY70" s="106" t="str">
        <x:v>완료 후</x:v>
      </x:c>
    </x:row>
    <x:row r="71" ht="24" customHeight="1">
      <x:c r="A71" s="56"/>
      <x:c r="B71" s="56"/>
      <x:c r="C71" s="56" t="str">
        <x:v>06 재검증·복구</x:v>
      </x:c>
      <x:c r="D71" s="56"/>
      <x:c r="E71" s="56"/>
      <x:c r="F71" s="57"/>
      <x:c r="G71" s="57"/>
      <x:c r="H71" s="58"/>
      <x:c r="I71" s="56"/>
      <x:c r="J71" s="56"/>
      <x:c r="K71" s="58"/>
      <x:c r="L71" s="73"/>
      <x:c r="M71" s="58"/>
      <x:c r="N71" s="58"/>
      <x:c r="O71" s="58"/>
      <x:c r="P71" s="58"/>
      <x:c r="Q71" s="82"/>
      <x:c r="R71" s="58"/>
      <x:c r="S71" s="58"/>
      <x:c r="T71" s="58"/>
      <x:c r="U71" s="58"/>
      <x:c r="V71" s="58"/>
      <x:c r="W71" s="82"/>
      <x:c r="X71" s="82"/>
      <x:c r="Y71" s="58"/>
      <x:c r="Z71" s="58"/>
      <x:c r="AA71" s="58"/>
      <x:c r="AB71" s="58"/>
      <x:c r="AC71" s="58"/>
      <x:c r="AD71" s="58"/>
      <x:c r="AE71" s="82"/>
      <x:c r="AF71" s="58"/>
      <x:c r="AG71" s="58"/>
      <x:c r="AH71" s="58"/>
      <x:c r="AI71" s="58"/>
      <x:c r="AJ71" s="58"/>
      <x:c r="AK71" s="58"/>
      <x:c r="AL71" s="82"/>
      <x:c r="AM71" s="4"/>
      <x:c r="AN71" s="49"/>
      <x:c r="AO71" s="49"/>
      <x:c r="AP71" s="4"/>
      <x:c r="AQ71" s="4"/>
      <x:c r="AR71" s="4" t="n">
        <x:v>1000000000</x:v>
      </x:c>
      <x:c r="AS71" s="4" t="n">
        <x:v>1000000000</x:v>
      </x:c>
      <x:c r="AT71" s="4" t="n">
        <x:v>1000000000</x:v>
      </x:c>
      <x:c r="AU71" s="4" t="n">
        <x:v>1000000000</x:v>
      </x:c>
      <x:c r="AV71" s="4" t="n">
        <x:v>1000000000</x:v>
      </x:c>
      <x:c r="AW71" s="4"/>
      <x:c r="AX71" s="4"/>
      <x:c r="AY71" s="106"/>
    </x:row>
    <x:row r="72" ht="31" customHeight="1">
      <x:c r="A72" s="66" t="str">
        <x:v>I17</x:v>
      </x:c>
      <x:c r="B72" s="67" t="str">
        <x:v>보안·검증</x:v>
      </x:c>
      <x:c r="C72" s="31" t="str">
        <x:v>S01 재공격·정상 동작 검증</x:v>
      </x:c>
      <x:c r="D72" s="31" t="str">
        <x:v>M1 유용수</x:v>
      </x:c>
      <x:c r="E72" s="31" t="str">
        <x:v>—</x:v>
      </x:c>
      <x:c r="F72" s="41" t="n">
        <x:v>46335</x:v>
      </x:c>
      <x:c r="G72" s="41" t="n">
        <x:v>46336</x:v>
      </x:c>
      <x:c r="H72" s="42" t="str">
        <x:v>미확인</x:v>
      </x:c>
      <x:c r="I72" s="31" t="str">
        <x:v>I16.3</x:v>
      </x:c>
      <x:c r="J72" s="65" t="str">
        <x:f>HYPERLINK($AW72,"#17")</x:f>
        <x:v>#17</x:v>
      </x:c>
      <x:c r="K72" s="34" t="str">
        <x:f>IF(AND(ISNUMBER($G72),K$9=$G72),"◆","")</x:f>
        <x:v/>
      </x:c>
      <x:c r="L72" s="74" t="str">
        <x:f>IF(AND(ISNUMBER($G72),L$9=$G72),"◆","")</x:f>
        <x:v/>
      </x:c>
      <x:c r="M72" s="34" t="str">
        <x:f>IF(AND(ISNUMBER($G72),M$9=$G72),"◆","")</x:f>
        <x:v/>
      </x:c>
      <x:c r="N72" s="34" t="str">
        <x:f>IF(AND(ISNUMBER($G72),N$9=$G72),"◆","")</x:f>
        <x:v/>
      </x:c>
      <x:c r="O72" s="76" t="str">
        <x:f>IF(AND(ISNUMBER($G72),O$9=$G72),"◆","")</x:f>
        <x:v/>
      </x:c>
      <x:c r="P72" s="76" t="str">
        <x:f>IF(AND(ISNUMBER($G72),P$9=$G72),"◆","")</x:f>
        <x:v/>
      </x:c>
      <x:c r="Q72" s="83" t="str">
        <x:f>IF(AND(ISNUMBER($G72),Q$9=$G72),"◆","")</x:f>
        <x:v/>
      </x:c>
      <x:c r="R72" s="34" t="str">
        <x:f>IF(AND(ISNUMBER($G72),R$9=$G72),"◆","")</x:f>
        <x:v/>
      </x:c>
      <x:c r="S72" s="34" t="str">
        <x:f>IF(AND(ISNUMBER($G72),S$9=$G72),"◆","")</x:f>
        <x:v/>
      </x:c>
      <x:c r="T72" s="34" t="str">
        <x:f>IF(AND(ISNUMBER($G72),T$9=$G72),"◆","")</x:f>
        <x:v/>
      </x:c>
      <x:c r="U72" s="34" t="str">
        <x:f>IF(AND(ISNUMBER($G72),U$9=$G72),"◆","")</x:f>
        <x:v/>
      </x:c>
      <x:c r="V72" s="76" t="str">
        <x:f>IF(AND(ISNUMBER($G72),V$9=$G72),"◆","")</x:f>
        <x:v/>
      </x:c>
      <x:c r="W72" s="86" t="str">
        <x:f>IF(AND(ISNUMBER($G72),W$9=$G72),"◆","")</x:f>
        <x:v/>
      </x:c>
      <x:c r="X72" s="83" t="str">
        <x:f>IF(AND(ISNUMBER($G72),X$9=$G72),"◆","")</x:f>
        <x:v/>
      </x:c>
      <x:c r="Y72" s="34" t="str">
        <x:f>IF(AND(ISNUMBER($G72),Y$9=$G72),"◆","")</x:f>
        <x:v/>
      </x:c>
      <x:c r="Z72" s="34" t="str">
        <x:f>IF(AND(ISNUMBER($G72),Z$9=$G72),"◆","")</x:f>
        <x:v/>
      </x:c>
      <x:c r="AA72" s="34" t="str">
        <x:f>IF(AND(ISNUMBER($G72),AA$9=$G72),"◆","")</x:f>
        <x:v/>
      </x:c>
      <x:c r="AB72" s="34" t="str">
        <x:f>IF(AND(ISNUMBER($G72),AB$9=$G72),"◆","")</x:f>
        <x:v/>
      </x:c>
      <x:c r="AC72" s="76" t="str">
        <x:f>IF(AND(ISNUMBER($G72),AC$9=$G72),"◆","")</x:f>
        <x:v/>
      </x:c>
      <x:c r="AD72" s="76" t="str">
        <x:f>IF(AND(ISNUMBER($G72),AD$9=$G72),"◆","")</x:f>
        <x:v/>
      </x:c>
      <x:c r="AE72" s="83" t="str">
        <x:f>IF(AND(ISNUMBER($G72),AE$9=$G72),"◆","")</x:f>
        <x:v/>
      </x:c>
      <x:c r="AF72" s="34" t="str">
        <x:f>IF(AND(ISNUMBER($G72),AF$9=$G72),"◆","")</x:f>
        <x:v>◆</x:v>
      </x:c>
      <x:c r="AG72" s="34" t="str">
        <x:f>IF(AND(ISNUMBER($G72),AG$9=$G72),"◆","")</x:f>
        <x:v/>
      </x:c>
      <x:c r="AH72" s="34" t="str">
        <x:f>IF(AND(ISNUMBER($G72),AH$9=$G72),"◆","")</x:f>
        <x:v/>
      </x:c>
      <x:c r="AI72" s="34" t="str">
        <x:f>IF(AND(ISNUMBER($G72),AI$9=$G72),"◆","")</x:f>
        <x:v/>
      </x:c>
      <x:c r="AJ72" s="76" t="str">
        <x:f>IF(AND(ISNUMBER($G72),AJ$9=$G72),"◆","")</x:f>
        <x:v/>
      </x:c>
      <x:c r="AK72" s="76" t="str">
        <x:f>IF(AND(ISNUMBER($G72),AK$9=$G72),"◆","")</x:f>
        <x:v/>
      </x:c>
      <x:c r="AL72" s="83" t="str">
        <x:f>IF(AND(ISNUMBER($G72),AL$9=$G72),"◆","")</x:f>
        <x:v/>
      </x:c>
      <x:c r="AM72" s="4" t="str">
        <x:v>06 재검증·복구</x:v>
      </x:c>
      <x:c r="AN72" s="49"/>
      <x:c r="AO72" s="49"/>
      <x:c r="AP72" s="4" t="str">
        <x:v>동일 출발지·대상·계정·조건, 개선 효과와 정상 업무를 함께 검증. 앱 기능 결과는 D8 공유.</x:v>
      </x:c>
      <x:c r="AQ72" s="4" t="str">
        <x:v>#17 OPEN 0/4</x:v>
      </x:c>
      <x:c r="AR72" s="4" t="n">
        <x:f>IF(OR(ISNUMBER(SEARCH(AR$9,$D72)),ISNUMBER(SEARCH(AR$9,$E72))),1*100000000+IF(ISNUMBER($F72),$F72,99999)*1000+ROW(),1000000000)</x:f>
        <x:v>146335072.0</x:v>
      </x:c>
      <x:c r="AS72" s="4" t="n">
        <x:f>IF(OR(ISNUMBER(SEARCH(AS$9,$D72)),ISNUMBER(SEARCH(AS$9,$E72))),2*100000000+IF(ISNUMBER($F72),$F72,99999)*1000+ROW(),1000000000)</x:f>
        <x:v>1000000000.0</x:v>
      </x:c>
      <x:c r="AT72" s="4" t="n">
        <x:f>IF(OR(ISNUMBER(SEARCH(AT$9,$D72)),ISNUMBER(SEARCH(AT$9,$E72))),3*100000000+IF(ISNUMBER($F72),$F72,99999)*1000+ROW(),1000000000)</x:f>
        <x:v>1000000000.0</x:v>
      </x:c>
      <x:c r="AU72" s="4" t="n">
        <x:f>IF(OR(ISNUMBER(SEARCH(AU$9,$D72)),ISNUMBER(SEARCH(AU$9,$E72))),4*100000000+IF(ISNUMBER($F72),$F72,99999)*1000+ROW(),1000000000)</x:f>
        <x:v>1000000000.0</x:v>
      </x:c>
      <x:c r="AV72" s="4" t="n">
        <x:f>IF(OR(ISNUMBER(SEARCH(AV$9,$D72)),ISNUMBER(SEARCH(AV$9,$E72))),5*100000000+IF(ISNUMBER($F72),$F72,99999)*1000+ROW(),1000000000)</x:f>
        <x:v>1000000000.0</x:v>
      </x:c>
      <x:c r="AW72" s="4" t="str">
        <x:v>https://github.com/team-blocks-lab/otter-shield/issues/17</x:v>
      </x:c>
      <x:c r="AX72" s="4" t="str">
        <x:v>#17</x:v>
      </x:c>
      <x:c r="AY72" s="106" t="str">
        <x:v>완료 후</x:v>
      </x:c>
    </x:row>
    <x:row r="73" ht="31" customHeight="1">
      <x:c r="A73" s="66" t="str">
        <x:v>I22</x:v>
      </x:c>
      <x:c r="B73" s="67" t="str">
        <x:v>보안·검증</x:v>
      </x:c>
      <x:c r="C73" s="31" t="str">
        <x:v>S02 재공격·정상 동작 검증</x:v>
      </x:c>
      <x:c r="D73" s="31" t="str">
        <x:v>M2 윤서영</x:v>
      </x:c>
      <x:c r="E73" s="31" t="str">
        <x:v>M1 유용수</x:v>
      </x:c>
      <x:c r="F73" s="41" t="n">
        <x:v>46335</x:v>
      </x:c>
      <x:c r="G73" s="41" t="n">
        <x:v>46336</x:v>
      </x:c>
      <x:c r="H73" s="42" t="str">
        <x:v>미확인</x:v>
      </x:c>
      <x:c r="I73" s="31" t="str">
        <x:v>I21.3</x:v>
      </x:c>
      <x:c r="J73" s="65" t="str">
        <x:f>HYPERLINK($AW73,"#22 +1")</x:f>
        <x:v>#22 +1</x:v>
      </x:c>
      <x:c r="K73" s="34" t="str">
        <x:f>IF(AND(ISNUMBER($G73),K$9=$G73),"◆","")</x:f>
        <x:v/>
      </x:c>
      <x:c r="L73" s="74" t="str">
        <x:f>IF(AND(ISNUMBER($G73),L$9=$G73),"◆","")</x:f>
        <x:v/>
      </x:c>
      <x:c r="M73" s="34" t="str">
        <x:f>IF(AND(ISNUMBER($G73),M$9=$G73),"◆","")</x:f>
        <x:v/>
      </x:c>
      <x:c r="N73" s="34" t="str">
        <x:f>IF(AND(ISNUMBER($G73),N$9=$G73),"◆","")</x:f>
        <x:v/>
      </x:c>
      <x:c r="O73" s="76" t="str">
        <x:f>IF(AND(ISNUMBER($G73),O$9=$G73),"◆","")</x:f>
        <x:v/>
      </x:c>
      <x:c r="P73" s="76" t="str">
        <x:f>IF(AND(ISNUMBER($G73),P$9=$G73),"◆","")</x:f>
        <x:v/>
      </x:c>
      <x:c r="Q73" s="83" t="str">
        <x:f>IF(AND(ISNUMBER($G73),Q$9=$G73),"◆","")</x:f>
        <x:v/>
      </x:c>
      <x:c r="R73" s="34" t="str">
        <x:f>IF(AND(ISNUMBER($G73),R$9=$G73),"◆","")</x:f>
        <x:v/>
      </x:c>
      <x:c r="S73" s="34" t="str">
        <x:f>IF(AND(ISNUMBER($G73),S$9=$G73),"◆","")</x:f>
        <x:v/>
      </x:c>
      <x:c r="T73" s="34" t="str">
        <x:f>IF(AND(ISNUMBER($G73),T$9=$G73),"◆","")</x:f>
        <x:v/>
      </x:c>
      <x:c r="U73" s="34" t="str">
        <x:f>IF(AND(ISNUMBER($G73),U$9=$G73),"◆","")</x:f>
        <x:v/>
      </x:c>
      <x:c r="V73" s="76" t="str">
        <x:f>IF(AND(ISNUMBER($G73),V$9=$G73),"◆","")</x:f>
        <x:v/>
      </x:c>
      <x:c r="W73" s="86" t="str">
        <x:f>IF(AND(ISNUMBER($G73),W$9=$G73),"◆","")</x:f>
        <x:v/>
      </x:c>
      <x:c r="X73" s="83" t="str">
        <x:f>IF(AND(ISNUMBER($G73),X$9=$G73),"◆","")</x:f>
        <x:v/>
      </x:c>
      <x:c r="Y73" s="34" t="str">
        <x:f>IF(AND(ISNUMBER($G73),Y$9=$G73),"◆","")</x:f>
        <x:v/>
      </x:c>
      <x:c r="Z73" s="34" t="str">
        <x:f>IF(AND(ISNUMBER($G73),Z$9=$G73),"◆","")</x:f>
        <x:v/>
      </x:c>
      <x:c r="AA73" s="34" t="str">
        <x:f>IF(AND(ISNUMBER($G73),AA$9=$G73),"◆","")</x:f>
        <x:v/>
      </x:c>
      <x:c r="AB73" s="34" t="str">
        <x:f>IF(AND(ISNUMBER($G73),AB$9=$G73),"◆","")</x:f>
        <x:v/>
      </x:c>
      <x:c r="AC73" s="76" t="str">
        <x:f>IF(AND(ISNUMBER($G73),AC$9=$G73),"◆","")</x:f>
        <x:v/>
      </x:c>
      <x:c r="AD73" s="76" t="str">
        <x:f>IF(AND(ISNUMBER($G73),AD$9=$G73),"◆","")</x:f>
        <x:v/>
      </x:c>
      <x:c r="AE73" s="83" t="str">
        <x:f>IF(AND(ISNUMBER($G73),AE$9=$G73),"◆","")</x:f>
        <x:v/>
      </x:c>
      <x:c r="AF73" s="34" t="str">
        <x:f>IF(AND(ISNUMBER($G73),AF$9=$G73),"◆","")</x:f>
        <x:v>◆</x:v>
      </x:c>
      <x:c r="AG73" s="34" t="str">
        <x:f>IF(AND(ISNUMBER($G73),AG$9=$G73),"◆","")</x:f>
        <x:v/>
      </x:c>
      <x:c r="AH73" s="34" t="str">
        <x:f>IF(AND(ISNUMBER($G73),AH$9=$G73),"◆","")</x:f>
        <x:v/>
      </x:c>
      <x:c r="AI73" s="34" t="str">
        <x:f>IF(AND(ISNUMBER($G73),AI$9=$G73),"◆","")</x:f>
        <x:v/>
      </x:c>
      <x:c r="AJ73" s="76" t="str">
        <x:f>IF(AND(ISNUMBER($G73),AJ$9=$G73),"◆","")</x:f>
        <x:v/>
      </x:c>
      <x:c r="AK73" s="76" t="str">
        <x:f>IF(AND(ISNUMBER($G73),AK$9=$G73),"◆","")</x:f>
        <x:v/>
      </x:c>
      <x:c r="AL73" s="83" t="str">
        <x:f>IF(AND(ISNUMBER($G73),AL$9=$G73),"◆","")</x:f>
        <x:v/>
      </x:c>
      <x:c r="AM73" s="4" t="str">
        <x:v>06 재검증·복구</x:v>
      </x:c>
      <x:c r="AN73" s="49"/>
      <x:c r="AO73" s="49"/>
      <x:c r="AP73" s="4" t="str">
        <x:v>동일 출발지·대상·계정·조건, 개선 효과와 정상 업무를 함께 검증. 앱 기능 결과는 D8 공유.</x:v>
      </x:c>
      <x:c r="AQ73" s="4" t="str">
        <x:v>#22 OPEN 0/5; #9 OPEN 0/5</x:v>
      </x:c>
      <x:c r="AR73" s="4" t="n">
        <x:f>IF(OR(ISNUMBER(SEARCH(AR$9,$D73)),ISNUMBER(SEARCH(AR$9,$E73))),1*100000000+IF(ISNUMBER($F73),$F73,99999)*1000+ROW(),1000000000)</x:f>
        <x:v>146335073.0</x:v>
      </x:c>
      <x:c r="AS73" s="4" t="n">
        <x:f>IF(OR(ISNUMBER(SEARCH(AS$9,$D73)),ISNUMBER(SEARCH(AS$9,$E73))),2*100000000+IF(ISNUMBER($F73),$F73,99999)*1000+ROW(),1000000000)</x:f>
        <x:v>246335073.0</x:v>
      </x:c>
      <x:c r="AT73" s="4" t="n">
        <x:f>IF(OR(ISNUMBER(SEARCH(AT$9,$D73)),ISNUMBER(SEARCH(AT$9,$E73))),3*100000000+IF(ISNUMBER($F73),$F73,99999)*1000+ROW(),1000000000)</x:f>
        <x:v>1000000000.0</x:v>
      </x:c>
      <x:c r="AU73" s="4" t="n">
        <x:f>IF(OR(ISNUMBER(SEARCH(AU$9,$D73)),ISNUMBER(SEARCH(AU$9,$E73))),4*100000000+IF(ISNUMBER($F73),$F73,99999)*1000+ROW(),1000000000)</x:f>
        <x:v>1000000000.0</x:v>
      </x:c>
      <x:c r="AV73" s="4" t="n">
        <x:f>IF(OR(ISNUMBER(SEARCH(AV$9,$D73)),ISNUMBER(SEARCH(AV$9,$E73))),5*100000000+IF(ISNUMBER($F73),$F73,99999)*1000+ROW(),1000000000)</x:f>
        <x:v>1000000000.0</x:v>
      </x:c>
      <x:c r="AW73" s="4" t="str">
        <x:v>https://github.com/team-blocks-lab/otter-shield/issues/22</x:v>
      </x:c>
      <x:c r="AX73" s="4" t="str">
        <x:v>#22; #9</x:v>
      </x:c>
      <x:c r="AY73" s="106" t="str">
        <x:v>완료 후</x:v>
      </x:c>
    </x:row>
    <x:row r="74" ht="31" customHeight="1">
      <x:c r="A74" s="66" t="str">
        <x:v>I27</x:v>
      </x:c>
      <x:c r="B74" s="67" t="str">
        <x:v>보안·검증</x:v>
      </x:c>
      <x:c r="C74" s="31" t="str">
        <x:v>S03 재공격·정상 동작 검증</x:v>
      </x:c>
      <x:c r="D74" s="31" t="str">
        <x:v>M3 홍은서(PL)</x:v>
      </x:c>
      <x:c r="E74" s="31" t="str">
        <x:v>M1 유용수</x:v>
      </x:c>
      <x:c r="F74" s="41" t="n">
        <x:v>46335</x:v>
      </x:c>
      <x:c r="G74" s="41" t="n">
        <x:v>46336</x:v>
      </x:c>
      <x:c r="H74" s="42" t="str">
        <x:v>미확인</x:v>
      </x:c>
      <x:c r="I74" s="31" t="str">
        <x:v>I26.4</x:v>
      </x:c>
      <x:c r="J74" s="65" t="str">
        <x:f>HYPERLINK($AW74,"#27")</x:f>
        <x:v>#27</x:v>
      </x:c>
      <x:c r="K74" s="34" t="str">
        <x:f>IF(AND(ISNUMBER($G74),K$9=$G74),"◆","")</x:f>
        <x:v/>
      </x:c>
      <x:c r="L74" s="74" t="str">
        <x:f>IF(AND(ISNUMBER($G74),L$9=$G74),"◆","")</x:f>
        <x:v/>
      </x:c>
      <x:c r="M74" s="34" t="str">
        <x:f>IF(AND(ISNUMBER($G74),M$9=$G74),"◆","")</x:f>
        <x:v/>
      </x:c>
      <x:c r="N74" s="34" t="str">
        <x:f>IF(AND(ISNUMBER($G74),N$9=$G74),"◆","")</x:f>
        <x:v/>
      </x:c>
      <x:c r="O74" s="76" t="str">
        <x:f>IF(AND(ISNUMBER($G74),O$9=$G74),"◆","")</x:f>
        <x:v/>
      </x:c>
      <x:c r="P74" s="76" t="str">
        <x:f>IF(AND(ISNUMBER($G74),P$9=$G74),"◆","")</x:f>
        <x:v/>
      </x:c>
      <x:c r="Q74" s="83" t="str">
        <x:f>IF(AND(ISNUMBER($G74),Q$9=$G74),"◆","")</x:f>
        <x:v/>
      </x:c>
      <x:c r="R74" s="34" t="str">
        <x:f>IF(AND(ISNUMBER($G74),R$9=$G74),"◆","")</x:f>
        <x:v/>
      </x:c>
      <x:c r="S74" s="34" t="str">
        <x:f>IF(AND(ISNUMBER($G74),S$9=$G74),"◆","")</x:f>
        <x:v/>
      </x:c>
      <x:c r="T74" s="34" t="str">
        <x:f>IF(AND(ISNUMBER($G74),T$9=$G74),"◆","")</x:f>
        <x:v/>
      </x:c>
      <x:c r="U74" s="34" t="str">
        <x:f>IF(AND(ISNUMBER($G74),U$9=$G74),"◆","")</x:f>
        <x:v/>
      </x:c>
      <x:c r="V74" s="76" t="str">
        <x:f>IF(AND(ISNUMBER($G74),V$9=$G74),"◆","")</x:f>
        <x:v/>
      </x:c>
      <x:c r="W74" s="86" t="str">
        <x:f>IF(AND(ISNUMBER($G74),W$9=$G74),"◆","")</x:f>
        <x:v/>
      </x:c>
      <x:c r="X74" s="83" t="str">
        <x:f>IF(AND(ISNUMBER($G74),X$9=$G74),"◆","")</x:f>
        <x:v/>
      </x:c>
      <x:c r="Y74" s="34" t="str">
        <x:f>IF(AND(ISNUMBER($G74),Y$9=$G74),"◆","")</x:f>
        <x:v/>
      </x:c>
      <x:c r="Z74" s="34" t="str">
        <x:f>IF(AND(ISNUMBER($G74),Z$9=$G74),"◆","")</x:f>
        <x:v/>
      </x:c>
      <x:c r="AA74" s="34" t="str">
        <x:f>IF(AND(ISNUMBER($G74),AA$9=$G74),"◆","")</x:f>
        <x:v/>
      </x:c>
      <x:c r="AB74" s="34" t="str">
        <x:f>IF(AND(ISNUMBER($G74),AB$9=$G74),"◆","")</x:f>
        <x:v/>
      </x:c>
      <x:c r="AC74" s="76" t="str">
        <x:f>IF(AND(ISNUMBER($G74),AC$9=$G74),"◆","")</x:f>
        <x:v/>
      </x:c>
      <x:c r="AD74" s="76" t="str">
        <x:f>IF(AND(ISNUMBER($G74),AD$9=$G74),"◆","")</x:f>
        <x:v/>
      </x:c>
      <x:c r="AE74" s="83" t="str">
        <x:f>IF(AND(ISNUMBER($G74),AE$9=$G74),"◆","")</x:f>
        <x:v/>
      </x:c>
      <x:c r="AF74" s="34" t="str">
        <x:f>IF(AND(ISNUMBER($G74),AF$9=$G74),"◆","")</x:f>
        <x:v>◆</x:v>
      </x:c>
      <x:c r="AG74" s="34" t="str">
        <x:f>IF(AND(ISNUMBER($G74),AG$9=$G74),"◆","")</x:f>
        <x:v/>
      </x:c>
      <x:c r="AH74" s="34" t="str">
        <x:f>IF(AND(ISNUMBER($G74),AH$9=$G74),"◆","")</x:f>
        <x:v/>
      </x:c>
      <x:c r="AI74" s="34" t="str">
        <x:f>IF(AND(ISNUMBER($G74),AI$9=$G74),"◆","")</x:f>
        <x:v/>
      </x:c>
      <x:c r="AJ74" s="76" t="str">
        <x:f>IF(AND(ISNUMBER($G74),AJ$9=$G74),"◆","")</x:f>
        <x:v/>
      </x:c>
      <x:c r="AK74" s="76" t="str">
        <x:f>IF(AND(ISNUMBER($G74),AK$9=$G74),"◆","")</x:f>
        <x:v/>
      </x:c>
      <x:c r="AL74" s="83" t="str">
        <x:f>IF(AND(ISNUMBER($G74),AL$9=$G74),"◆","")</x:f>
        <x:v/>
      </x:c>
      <x:c r="AM74" s="4" t="str">
        <x:v>06 재검증·복구</x:v>
      </x:c>
      <x:c r="AN74" s="49"/>
      <x:c r="AO74" s="49"/>
      <x:c r="AP74" s="4" t="str">
        <x:v>동일 출발지·대상·계정·조건, 개선 효과와 정상 업무를 함께 검증. 앱 기능 결과는 D8 공유.</x:v>
      </x:c>
      <x:c r="AQ74" s="4" t="str">
        <x:v>#27 OPEN 0/4</x:v>
      </x:c>
      <x:c r="AR74" s="4" t="n">
        <x:f>IF(OR(ISNUMBER(SEARCH(AR$9,$D74)),ISNUMBER(SEARCH(AR$9,$E74))),1*100000000+IF(ISNUMBER($F74),$F74,99999)*1000+ROW(),1000000000)</x:f>
        <x:v>146335074.0</x:v>
      </x:c>
      <x:c r="AS74" s="4" t="n">
        <x:f>IF(OR(ISNUMBER(SEARCH(AS$9,$D74)),ISNUMBER(SEARCH(AS$9,$E74))),2*100000000+IF(ISNUMBER($F74),$F74,99999)*1000+ROW(),1000000000)</x:f>
        <x:v>1000000000.0</x:v>
      </x:c>
      <x:c r="AT74" s="4" t="n">
        <x:f>IF(OR(ISNUMBER(SEARCH(AT$9,$D74)),ISNUMBER(SEARCH(AT$9,$E74))),3*100000000+IF(ISNUMBER($F74),$F74,99999)*1000+ROW(),1000000000)</x:f>
        <x:v>346335074.0</x:v>
      </x:c>
      <x:c r="AU74" s="4" t="n">
        <x:f>IF(OR(ISNUMBER(SEARCH(AU$9,$D74)),ISNUMBER(SEARCH(AU$9,$E74))),4*100000000+IF(ISNUMBER($F74),$F74,99999)*1000+ROW(),1000000000)</x:f>
        <x:v>1000000000.0</x:v>
      </x:c>
      <x:c r="AV74" s="4" t="n">
        <x:f>IF(OR(ISNUMBER(SEARCH(AV$9,$D74)),ISNUMBER(SEARCH(AV$9,$E74))),5*100000000+IF(ISNUMBER($F74),$F74,99999)*1000+ROW(),1000000000)</x:f>
        <x:v>1000000000.0</x:v>
      </x:c>
      <x:c r="AW74" s="4" t="str">
        <x:v>https://github.com/team-blocks-lab/otter-shield/issues/27</x:v>
      </x:c>
      <x:c r="AX74" s="4" t="str">
        <x:v>#27</x:v>
      </x:c>
      <x:c r="AY74" s="106" t="str">
        <x:v>완료 후</x:v>
      </x:c>
    </x:row>
    <x:row r="75" ht="31" customHeight="1">
      <x:c r="A75" s="66" t="str">
        <x:v>I32</x:v>
      </x:c>
      <x:c r="B75" s="67" t="str">
        <x:v>보안·검증</x:v>
      </x:c>
      <x:c r="C75" s="31" t="str">
        <x:v>S04 재공격·정상 동작 검증</x:v>
      </x:c>
      <x:c r="D75" s="31" t="str">
        <x:v>M4 박진혁</x:v>
      </x:c>
      <x:c r="E75" s="31" t="str">
        <x:v>—</x:v>
      </x:c>
      <x:c r="F75" s="41" t="n">
        <x:v>46335</x:v>
      </x:c>
      <x:c r="G75" s="41" t="n">
        <x:v>46336</x:v>
      </x:c>
      <x:c r="H75" s="42" t="str">
        <x:v>미확인</x:v>
      </x:c>
      <x:c r="I75" s="31" t="str">
        <x:v>I31.2, C10.4</x:v>
      </x:c>
      <x:c r="J75" s="65" t="str">
        <x:f>HYPERLINK($AW75,"#32")</x:f>
        <x:v>#32</x:v>
      </x:c>
      <x:c r="K75" s="34" t="str">
        <x:f>IF(AND(ISNUMBER($G75),K$9=$G75),"◆","")</x:f>
        <x:v/>
      </x:c>
      <x:c r="L75" s="74" t="str">
        <x:f>IF(AND(ISNUMBER($G75),L$9=$G75),"◆","")</x:f>
        <x:v/>
      </x:c>
      <x:c r="M75" s="34" t="str">
        <x:f>IF(AND(ISNUMBER($G75),M$9=$G75),"◆","")</x:f>
        <x:v/>
      </x:c>
      <x:c r="N75" s="34" t="str">
        <x:f>IF(AND(ISNUMBER($G75),N$9=$G75),"◆","")</x:f>
        <x:v/>
      </x:c>
      <x:c r="O75" s="76" t="str">
        <x:f>IF(AND(ISNUMBER($G75),O$9=$G75),"◆","")</x:f>
        <x:v/>
      </x:c>
      <x:c r="P75" s="76" t="str">
        <x:f>IF(AND(ISNUMBER($G75),P$9=$G75),"◆","")</x:f>
        <x:v/>
      </x:c>
      <x:c r="Q75" s="83" t="str">
        <x:f>IF(AND(ISNUMBER($G75),Q$9=$G75),"◆","")</x:f>
        <x:v/>
      </x:c>
      <x:c r="R75" s="34" t="str">
        <x:f>IF(AND(ISNUMBER($G75),R$9=$G75),"◆","")</x:f>
        <x:v/>
      </x:c>
      <x:c r="S75" s="34" t="str">
        <x:f>IF(AND(ISNUMBER($G75),S$9=$G75),"◆","")</x:f>
        <x:v/>
      </x:c>
      <x:c r="T75" s="34" t="str">
        <x:f>IF(AND(ISNUMBER($G75),T$9=$G75),"◆","")</x:f>
        <x:v/>
      </x:c>
      <x:c r="U75" s="34" t="str">
        <x:f>IF(AND(ISNUMBER($G75),U$9=$G75),"◆","")</x:f>
        <x:v/>
      </x:c>
      <x:c r="V75" s="76" t="str">
        <x:f>IF(AND(ISNUMBER($G75),V$9=$G75),"◆","")</x:f>
        <x:v/>
      </x:c>
      <x:c r="W75" s="86" t="str">
        <x:f>IF(AND(ISNUMBER($G75),W$9=$G75),"◆","")</x:f>
        <x:v/>
      </x:c>
      <x:c r="X75" s="83" t="str">
        <x:f>IF(AND(ISNUMBER($G75),X$9=$G75),"◆","")</x:f>
        <x:v/>
      </x:c>
      <x:c r="Y75" s="34" t="str">
        <x:f>IF(AND(ISNUMBER($G75),Y$9=$G75),"◆","")</x:f>
        <x:v/>
      </x:c>
      <x:c r="Z75" s="34" t="str">
        <x:f>IF(AND(ISNUMBER($G75),Z$9=$G75),"◆","")</x:f>
        <x:v/>
      </x:c>
      <x:c r="AA75" s="34" t="str">
        <x:f>IF(AND(ISNUMBER($G75),AA$9=$G75),"◆","")</x:f>
        <x:v/>
      </x:c>
      <x:c r="AB75" s="34" t="str">
        <x:f>IF(AND(ISNUMBER($G75),AB$9=$G75),"◆","")</x:f>
        <x:v/>
      </x:c>
      <x:c r="AC75" s="76" t="str">
        <x:f>IF(AND(ISNUMBER($G75),AC$9=$G75),"◆","")</x:f>
        <x:v/>
      </x:c>
      <x:c r="AD75" s="76" t="str">
        <x:f>IF(AND(ISNUMBER($G75),AD$9=$G75),"◆","")</x:f>
        <x:v/>
      </x:c>
      <x:c r="AE75" s="83" t="str">
        <x:f>IF(AND(ISNUMBER($G75),AE$9=$G75),"◆","")</x:f>
        <x:v/>
      </x:c>
      <x:c r="AF75" s="34" t="str">
        <x:f>IF(AND(ISNUMBER($G75),AF$9=$G75),"◆","")</x:f>
        <x:v>◆</x:v>
      </x:c>
      <x:c r="AG75" s="34" t="str">
        <x:f>IF(AND(ISNUMBER($G75),AG$9=$G75),"◆","")</x:f>
        <x:v/>
      </x:c>
      <x:c r="AH75" s="34" t="str">
        <x:f>IF(AND(ISNUMBER($G75),AH$9=$G75),"◆","")</x:f>
        <x:v/>
      </x:c>
      <x:c r="AI75" s="34" t="str">
        <x:f>IF(AND(ISNUMBER($G75),AI$9=$G75),"◆","")</x:f>
        <x:v/>
      </x:c>
      <x:c r="AJ75" s="76" t="str">
        <x:f>IF(AND(ISNUMBER($G75),AJ$9=$G75),"◆","")</x:f>
        <x:v/>
      </x:c>
      <x:c r="AK75" s="76" t="str">
        <x:f>IF(AND(ISNUMBER($G75),AK$9=$G75),"◆","")</x:f>
        <x:v/>
      </x:c>
      <x:c r="AL75" s="83" t="str">
        <x:f>IF(AND(ISNUMBER($G75),AL$9=$G75),"◆","")</x:f>
        <x:v/>
      </x:c>
      <x:c r="AM75" s="4" t="str">
        <x:v>06 재검증·복구</x:v>
      </x:c>
      <x:c r="AN75" s="49"/>
      <x:c r="AO75" s="49"/>
      <x:c r="AP75" s="4" t="str">
        <x:v>동일 출발지·대상·계정·조건, 개선 효과와 정상 업무를 함께 검증. 앱 기능 결과는 D8 공유.</x:v>
      </x:c>
      <x:c r="AQ75" s="4" t="str">
        <x:v>#32 OPEN 0/4</x:v>
      </x:c>
      <x:c r="AR75" s="4" t="n">
        <x:f>IF(OR(ISNUMBER(SEARCH(AR$9,$D75)),ISNUMBER(SEARCH(AR$9,$E75))),1*100000000+IF(ISNUMBER($F75),$F75,99999)*1000+ROW(),1000000000)</x:f>
        <x:v>1000000000.0</x:v>
      </x:c>
      <x:c r="AS75" s="4" t="n">
        <x:f>IF(OR(ISNUMBER(SEARCH(AS$9,$D75)),ISNUMBER(SEARCH(AS$9,$E75))),2*100000000+IF(ISNUMBER($F75),$F75,99999)*1000+ROW(),1000000000)</x:f>
        <x:v>1000000000.0</x:v>
      </x:c>
      <x:c r="AT75" s="4" t="n">
        <x:f>IF(OR(ISNUMBER(SEARCH(AT$9,$D75)),ISNUMBER(SEARCH(AT$9,$E75))),3*100000000+IF(ISNUMBER($F75),$F75,99999)*1000+ROW(),1000000000)</x:f>
        <x:v>1000000000.0</x:v>
      </x:c>
      <x:c r="AU75" s="4" t="n">
        <x:f>IF(OR(ISNUMBER(SEARCH(AU$9,$D75)),ISNUMBER(SEARCH(AU$9,$E75))),4*100000000+IF(ISNUMBER($F75),$F75,99999)*1000+ROW(),1000000000)</x:f>
        <x:v>446335075.0</x:v>
      </x:c>
      <x:c r="AV75" s="4" t="n">
        <x:f>IF(OR(ISNUMBER(SEARCH(AV$9,$D75)),ISNUMBER(SEARCH(AV$9,$E75))),5*100000000+IF(ISNUMBER($F75),$F75,99999)*1000+ROW(),1000000000)</x:f>
        <x:v>1000000000.0</x:v>
      </x:c>
      <x:c r="AW75" s="4" t="str">
        <x:v>https://github.com/team-blocks-lab/otter-shield/issues/32</x:v>
      </x:c>
      <x:c r="AX75" s="4" t="str">
        <x:v>#32</x:v>
      </x:c>
      <x:c r="AY75" s="106" t="str">
        <x:v>완료 후</x:v>
      </x:c>
    </x:row>
    <x:row r="76" ht="31" customHeight="1">
      <x:c r="A76" s="66" t="str">
        <x:v>I37</x:v>
      </x:c>
      <x:c r="B76" s="67" t="str">
        <x:v>보안·검증</x:v>
      </x:c>
      <x:c r="C76" s="31" t="str">
        <x:v>S05 재공격·정상 동작 검증</x:v>
      </x:c>
      <x:c r="D76" s="31" t="str">
        <x:v>M5 유은혜(PM)</x:v>
      </x:c>
      <x:c r="E76" s="31" t="str">
        <x:v>M1 유용수 · M3 홍은서</x:v>
      </x:c>
      <x:c r="F76" s="41" t="n">
        <x:v>46335</x:v>
      </x:c>
      <x:c r="G76" s="41" t="n">
        <x:v>46336</x:v>
      </x:c>
      <x:c r="H76" s="42" t="str">
        <x:v>미확인</x:v>
      </x:c>
      <x:c r="I76" s="31" t="str">
        <x:v>I36.2</x:v>
      </x:c>
      <x:c r="J76" s="65" t="str">
        <x:f>HYPERLINK($AW76,"#37")</x:f>
        <x:v>#37</x:v>
      </x:c>
      <x:c r="K76" s="34" t="str">
        <x:f>IF(AND(ISNUMBER($G76),K$9=$G76),"◆","")</x:f>
        <x:v/>
      </x:c>
      <x:c r="L76" s="74" t="str">
        <x:f>IF(AND(ISNUMBER($G76),L$9=$G76),"◆","")</x:f>
        <x:v/>
      </x:c>
      <x:c r="M76" s="34" t="str">
        <x:f>IF(AND(ISNUMBER($G76),M$9=$G76),"◆","")</x:f>
        <x:v/>
      </x:c>
      <x:c r="N76" s="34" t="str">
        <x:f>IF(AND(ISNUMBER($G76),N$9=$G76),"◆","")</x:f>
        <x:v/>
      </x:c>
      <x:c r="O76" s="76" t="str">
        <x:f>IF(AND(ISNUMBER($G76),O$9=$G76),"◆","")</x:f>
        <x:v/>
      </x:c>
      <x:c r="P76" s="76" t="str">
        <x:f>IF(AND(ISNUMBER($G76),P$9=$G76),"◆","")</x:f>
        <x:v/>
      </x:c>
      <x:c r="Q76" s="83" t="str">
        <x:f>IF(AND(ISNUMBER($G76),Q$9=$G76),"◆","")</x:f>
        <x:v/>
      </x:c>
      <x:c r="R76" s="34" t="str">
        <x:f>IF(AND(ISNUMBER($G76),R$9=$G76),"◆","")</x:f>
        <x:v/>
      </x:c>
      <x:c r="S76" s="34" t="str">
        <x:f>IF(AND(ISNUMBER($G76),S$9=$G76),"◆","")</x:f>
        <x:v/>
      </x:c>
      <x:c r="T76" s="34" t="str">
        <x:f>IF(AND(ISNUMBER($G76),T$9=$G76),"◆","")</x:f>
        <x:v/>
      </x:c>
      <x:c r="U76" s="34" t="str">
        <x:f>IF(AND(ISNUMBER($G76),U$9=$G76),"◆","")</x:f>
        <x:v/>
      </x:c>
      <x:c r="V76" s="76" t="str">
        <x:f>IF(AND(ISNUMBER($G76),V$9=$G76),"◆","")</x:f>
        <x:v/>
      </x:c>
      <x:c r="W76" s="86" t="str">
        <x:f>IF(AND(ISNUMBER($G76),W$9=$G76),"◆","")</x:f>
        <x:v/>
      </x:c>
      <x:c r="X76" s="83" t="str">
        <x:f>IF(AND(ISNUMBER($G76),X$9=$G76),"◆","")</x:f>
        <x:v/>
      </x:c>
      <x:c r="Y76" s="34" t="str">
        <x:f>IF(AND(ISNUMBER($G76),Y$9=$G76),"◆","")</x:f>
        <x:v/>
      </x:c>
      <x:c r="Z76" s="34" t="str">
        <x:f>IF(AND(ISNUMBER($G76),Z$9=$G76),"◆","")</x:f>
        <x:v/>
      </x:c>
      <x:c r="AA76" s="34" t="str">
        <x:f>IF(AND(ISNUMBER($G76),AA$9=$G76),"◆","")</x:f>
        <x:v/>
      </x:c>
      <x:c r="AB76" s="34" t="str">
        <x:f>IF(AND(ISNUMBER($G76),AB$9=$G76),"◆","")</x:f>
        <x:v/>
      </x:c>
      <x:c r="AC76" s="76" t="str">
        <x:f>IF(AND(ISNUMBER($G76),AC$9=$G76),"◆","")</x:f>
        <x:v/>
      </x:c>
      <x:c r="AD76" s="76" t="str">
        <x:f>IF(AND(ISNUMBER($G76),AD$9=$G76),"◆","")</x:f>
        <x:v/>
      </x:c>
      <x:c r="AE76" s="83" t="str">
        <x:f>IF(AND(ISNUMBER($G76),AE$9=$G76),"◆","")</x:f>
        <x:v/>
      </x:c>
      <x:c r="AF76" s="34" t="str">
        <x:f>IF(AND(ISNUMBER($G76),AF$9=$G76),"◆","")</x:f>
        <x:v>◆</x:v>
      </x:c>
      <x:c r="AG76" s="34" t="str">
        <x:f>IF(AND(ISNUMBER($G76),AG$9=$G76),"◆","")</x:f>
        <x:v/>
      </x:c>
      <x:c r="AH76" s="34" t="str">
        <x:f>IF(AND(ISNUMBER($G76),AH$9=$G76),"◆","")</x:f>
        <x:v/>
      </x:c>
      <x:c r="AI76" s="34" t="str">
        <x:f>IF(AND(ISNUMBER($G76),AI$9=$G76),"◆","")</x:f>
        <x:v/>
      </x:c>
      <x:c r="AJ76" s="76" t="str">
        <x:f>IF(AND(ISNUMBER($G76),AJ$9=$G76),"◆","")</x:f>
        <x:v/>
      </x:c>
      <x:c r="AK76" s="76" t="str">
        <x:f>IF(AND(ISNUMBER($G76),AK$9=$G76),"◆","")</x:f>
        <x:v/>
      </x:c>
      <x:c r="AL76" s="83" t="str">
        <x:f>IF(AND(ISNUMBER($G76),AL$9=$G76),"◆","")</x:f>
        <x:v/>
      </x:c>
      <x:c r="AM76" s="4" t="str">
        <x:v>06 재검증·복구</x:v>
      </x:c>
      <x:c r="AN76" s="49"/>
      <x:c r="AO76" s="49"/>
      <x:c r="AP76" s="4" t="str">
        <x:v>동일 출발지·대상·계정·조건, 개선 효과와 정상 업무를 함께 검증. 앱 기능 결과는 D8 공유.</x:v>
      </x:c>
      <x:c r="AQ76" s="4" t="str">
        <x:v>#37 OPEN 0/4</x:v>
      </x:c>
      <x:c r="AR76" s="4" t="n">
        <x:f>IF(OR(ISNUMBER(SEARCH(AR$9,$D76)),ISNUMBER(SEARCH(AR$9,$E76))),1*100000000+IF(ISNUMBER($F76),$F76,99999)*1000+ROW(),1000000000)</x:f>
        <x:v>146335076.0</x:v>
      </x:c>
      <x:c r="AS76" s="4" t="n">
        <x:f>IF(OR(ISNUMBER(SEARCH(AS$9,$D76)),ISNUMBER(SEARCH(AS$9,$E76))),2*100000000+IF(ISNUMBER($F76),$F76,99999)*1000+ROW(),1000000000)</x:f>
        <x:v>1000000000.0</x:v>
      </x:c>
      <x:c r="AT76" s="4" t="n">
        <x:f>IF(OR(ISNUMBER(SEARCH(AT$9,$D76)),ISNUMBER(SEARCH(AT$9,$E76))),3*100000000+IF(ISNUMBER($F76),$F76,99999)*1000+ROW(),1000000000)</x:f>
        <x:v>346335076.0</x:v>
      </x:c>
      <x:c r="AU76" s="4" t="n">
        <x:f>IF(OR(ISNUMBER(SEARCH(AU$9,$D76)),ISNUMBER(SEARCH(AU$9,$E76))),4*100000000+IF(ISNUMBER($F76),$F76,99999)*1000+ROW(),1000000000)</x:f>
        <x:v>1000000000.0</x:v>
      </x:c>
      <x:c r="AV76" s="4" t="n">
        <x:f>IF(OR(ISNUMBER(SEARCH(AV$9,$D76)),ISNUMBER(SEARCH(AV$9,$E76))),5*100000000+IF(ISNUMBER($F76),$F76,99999)*1000+ROW(),1000000000)</x:f>
        <x:v>546335076.0</x:v>
      </x:c>
      <x:c r="AW76" s="4" t="str">
        <x:v>https://github.com/team-blocks-lab/otter-shield/issues/37</x:v>
      </x:c>
      <x:c r="AX76" s="4" t="str">
        <x:v>#37</x:v>
      </x:c>
      <x:c r="AY76" s="106" t="str">
        <x:v>완료 후</x:v>
      </x:c>
    </x:row>
    <x:row r="77" ht="31" customHeight="1">
      <x:c r="A77" s="66" t="str">
        <x:v>C10.5</x:v>
      </x:c>
      <x:c r="B77" s="67" t="str">
        <x:v>보안·검증</x:v>
      </x:c>
      <x:c r="C77" s="31" t="str">
        <x:v>DB 복제·백업·복원 재검증</x:v>
      </x:c>
      <x:c r="D77" s="31" t="str">
        <x:v>M4 박진혁</x:v>
      </x:c>
      <x:c r="E77" s="31" t="str">
        <x:v>M3 홍은서</x:v>
      </x:c>
      <x:c r="F77" s="41" t="n">
        <x:v>46335</x:v>
      </x:c>
      <x:c r="G77" s="41" t="n">
        <x:v>46336</x:v>
      </x:c>
      <x:c r="H77" s="42" t="str">
        <x:v>미확인</x:v>
      </x:c>
      <x:c r="I77" s="31" t="str">
        <x:v>I31.3, C10.4</x:v>
      </x:c>
      <x:c r="J77" s="65" t="str">
        <x:f>HYPERLINK($AW77,"#10 +1")</x:f>
        <x:v>#10 +1</x:v>
      </x:c>
      <x:c r="K77" s="34" t="str">
        <x:f>IF(AND(ISNUMBER($G77),K$9=$G77),"◆","")</x:f>
        <x:v/>
      </x:c>
      <x:c r="L77" s="74" t="str">
        <x:f>IF(AND(ISNUMBER($G77),L$9=$G77),"◆","")</x:f>
        <x:v/>
      </x:c>
      <x:c r="M77" s="34" t="str">
        <x:f>IF(AND(ISNUMBER($G77),M$9=$G77),"◆","")</x:f>
        <x:v/>
      </x:c>
      <x:c r="N77" s="34" t="str">
        <x:f>IF(AND(ISNUMBER($G77),N$9=$G77),"◆","")</x:f>
        <x:v/>
      </x:c>
      <x:c r="O77" s="76" t="str">
        <x:f>IF(AND(ISNUMBER($G77),O$9=$G77),"◆","")</x:f>
        <x:v/>
      </x:c>
      <x:c r="P77" s="76" t="str">
        <x:f>IF(AND(ISNUMBER($G77),P$9=$G77),"◆","")</x:f>
        <x:v/>
      </x:c>
      <x:c r="Q77" s="83" t="str">
        <x:f>IF(AND(ISNUMBER($G77),Q$9=$G77),"◆","")</x:f>
        <x:v/>
      </x:c>
      <x:c r="R77" s="34" t="str">
        <x:f>IF(AND(ISNUMBER($G77),R$9=$G77),"◆","")</x:f>
        <x:v/>
      </x:c>
      <x:c r="S77" s="34" t="str">
        <x:f>IF(AND(ISNUMBER($G77),S$9=$G77),"◆","")</x:f>
        <x:v/>
      </x:c>
      <x:c r="T77" s="34" t="str">
        <x:f>IF(AND(ISNUMBER($G77),T$9=$G77),"◆","")</x:f>
        <x:v/>
      </x:c>
      <x:c r="U77" s="34" t="str">
        <x:f>IF(AND(ISNUMBER($G77),U$9=$G77),"◆","")</x:f>
        <x:v/>
      </x:c>
      <x:c r="V77" s="76" t="str">
        <x:f>IF(AND(ISNUMBER($G77),V$9=$G77),"◆","")</x:f>
        <x:v/>
      </x:c>
      <x:c r="W77" s="86" t="str">
        <x:f>IF(AND(ISNUMBER($G77),W$9=$G77),"◆","")</x:f>
        <x:v/>
      </x:c>
      <x:c r="X77" s="83" t="str">
        <x:f>IF(AND(ISNUMBER($G77),X$9=$G77),"◆","")</x:f>
        <x:v/>
      </x:c>
      <x:c r="Y77" s="34" t="str">
        <x:f>IF(AND(ISNUMBER($G77),Y$9=$G77),"◆","")</x:f>
        <x:v/>
      </x:c>
      <x:c r="Z77" s="34" t="str">
        <x:f>IF(AND(ISNUMBER($G77),Z$9=$G77),"◆","")</x:f>
        <x:v/>
      </x:c>
      <x:c r="AA77" s="34" t="str">
        <x:f>IF(AND(ISNUMBER($G77),AA$9=$G77),"◆","")</x:f>
        <x:v/>
      </x:c>
      <x:c r="AB77" s="34" t="str">
        <x:f>IF(AND(ISNUMBER($G77),AB$9=$G77),"◆","")</x:f>
        <x:v/>
      </x:c>
      <x:c r="AC77" s="76" t="str">
        <x:f>IF(AND(ISNUMBER($G77),AC$9=$G77),"◆","")</x:f>
        <x:v/>
      </x:c>
      <x:c r="AD77" s="76" t="str">
        <x:f>IF(AND(ISNUMBER($G77),AD$9=$G77),"◆","")</x:f>
        <x:v/>
      </x:c>
      <x:c r="AE77" s="83" t="str">
        <x:f>IF(AND(ISNUMBER($G77),AE$9=$G77),"◆","")</x:f>
        <x:v/>
      </x:c>
      <x:c r="AF77" s="34" t="str">
        <x:f>IF(AND(ISNUMBER($G77),AF$9=$G77),"◆","")</x:f>
        <x:v>◆</x:v>
      </x:c>
      <x:c r="AG77" s="34" t="str">
        <x:f>IF(AND(ISNUMBER($G77),AG$9=$G77),"◆","")</x:f>
        <x:v/>
      </x:c>
      <x:c r="AH77" s="34" t="str">
        <x:f>IF(AND(ISNUMBER($G77),AH$9=$G77),"◆","")</x:f>
        <x:v/>
      </x:c>
      <x:c r="AI77" s="34" t="str">
        <x:f>IF(AND(ISNUMBER($G77),AI$9=$G77),"◆","")</x:f>
        <x:v/>
      </x:c>
      <x:c r="AJ77" s="76" t="str">
        <x:f>IF(AND(ISNUMBER($G77),AJ$9=$G77),"◆","")</x:f>
        <x:v/>
      </x:c>
      <x:c r="AK77" s="76" t="str">
        <x:f>IF(AND(ISNUMBER($G77),AK$9=$G77),"◆","")</x:f>
        <x:v/>
      </x:c>
      <x:c r="AL77" s="83" t="str">
        <x:f>IF(AND(ISNUMBER($G77),AL$9=$G77),"◆","")</x:f>
        <x:v/>
      </x:c>
      <x:c r="AM77" s="4" t="str">
        <x:v>06 재검증·복구</x:v>
      </x:c>
      <x:c r="AN77" s="49"/>
      <x:c r="AO77" s="49"/>
      <x:c r="AP77" s="4" t="str">
        <x:v>복제 지연·단절/재개·쓰기 제한, 격리 복원·해시·실제 소요·정리.</x:v>
      </x:c>
      <x:c r="AQ77" s="4" t="str">
        <x:v>#10 OPEN 0/9; #32 OPEN 0/4</x:v>
      </x:c>
      <x:c r="AR77" s="4" t="n">
        <x:f>IF(OR(ISNUMBER(SEARCH(AR$9,$D77)),ISNUMBER(SEARCH(AR$9,$E77))),1*100000000+IF(ISNUMBER($F77),$F77,99999)*1000+ROW(),1000000000)</x:f>
        <x:v>1000000000.0</x:v>
      </x:c>
      <x:c r="AS77" s="4" t="n">
        <x:f>IF(OR(ISNUMBER(SEARCH(AS$9,$D77)),ISNUMBER(SEARCH(AS$9,$E77))),2*100000000+IF(ISNUMBER($F77),$F77,99999)*1000+ROW(),1000000000)</x:f>
        <x:v>1000000000.0</x:v>
      </x:c>
      <x:c r="AT77" s="4" t="n">
        <x:f>IF(OR(ISNUMBER(SEARCH(AT$9,$D77)),ISNUMBER(SEARCH(AT$9,$E77))),3*100000000+IF(ISNUMBER($F77),$F77,99999)*1000+ROW(),1000000000)</x:f>
        <x:v>346335077.0</x:v>
      </x:c>
      <x:c r="AU77" s="4" t="n">
        <x:f>IF(OR(ISNUMBER(SEARCH(AU$9,$D77)),ISNUMBER(SEARCH(AU$9,$E77))),4*100000000+IF(ISNUMBER($F77),$F77,99999)*1000+ROW(),1000000000)</x:f>
        <x:v>446335077.0</x:v>
      </x:c>
      <x:c r="AV77" s="4" t="n">
        <x:f>IF(OR(ISNUMBER(SEARCH(AV$9,$D77)),ISNUMBER(SEARCH(AV$9,$E77))),5*100000000+IF(ISNUMBER($F77),$F77,99999)*1000+ROW(),1000000000)</x:f>
        <x:v>1000000000.0</x:v>
      </x:c>
      <x:c r="AW77" s="4" t="str">
        <x:v>https://github.com/team-blocks-lab/otter-shield/issues/10</x:v>
      </x:c>
      <x:c r="AX77" s="4" t="str">
        <x:v>#10; #32</x:v>
      </x:c>
      <x:c r="AY77" s="106" t="str">
        <x:v>복제 단절/재개·쓰기 제한·복원 데이터·시간</x:v>
      </x:c>
    </x:row>
    <x:row r="78" ht="31" customHeight="1">
      <x:c r="A78" s="66" t="str">
        <x:v>C11.2</x:v>
      </x:c>
      <x:c r="B78" s="67" t="str">
        <x:v>보안·검증</x:v>
      </x:c>
      <x:c r="C78" s="31" t="str">
        <x:v>앱·노드·VIP 장애 복구 테스트</x:v>
      </x:c>
      <x:c r="D78" s="31" t="str">
        <x:v>M3 홍은서(PL)</x:v>
      </x:c>
      <x:c r="E78" s="31" t="str">
        <x:v>M5 유은혜</x:v>
      </x:c>
      <x:c r="F78" s="41" t="n">
        <x:v>46332</x:v>
      </x:c>
      <x:c r="G78" s="41" t="n">
        <x:v>46336</x:v>
      </x:c>
      <x:c r="H78" s="42" t="str">
        <x:v>미확인</x:v>
      </x:c>
      <x:c r="I78" s="31" t="str">
        <x:v>C11.1, I26.4</x:v>
      </x:c>
      <x:c r="J78" s="65" t="str">
        <x:f>HYPERLINK($AW78,"#11 +1")</x:f>
        <x:v>#11 +1</x:v>
      </x:c>
      <x:c r="K78" s="34" t="str">
        <x:f>IF(AND(ISNUMBER($G78),K$9=$G78),"◆","")</x:f>
        <x:v/>
      </x:c>
      <x:c r="L78" s="74" t="str">
        <x:f>IF(AND(ISNUMBER($G78),L$9=$G78),"◆","")</x:f>
        <x:v/>
      </x:c>
      <x:c r="M78" s="34" t="str">
        <x:f>IF(AND(ISNUMBER($G78),M$9=$G78),"◆","")</x:f>
        <x:v/>
      </x:c>
      <x:c r="N78" s="34" t="str">
        <x:f>IF(AND(ISNUMBER($G78),N$9=$G78),"◆","")</x:f>
        <x:v/>
      </x:c>
      <x:c r="O78" s="76" t="str">
        <x:f>IF(AND(ISNUMBER($G78),O$9=$G78),"◆","")</x:f>
        <x:v/>
      </x:c>
      <x:c r="P78" s="76" t="str">
        <x:f>IF(AND(ISNUMBER($G78),P$9=$G78),"◆","")</x:f>
        <x:v/>
      </x:c>
      <x:c r="Q78" s="83" t="str">
        <x:f>IF(AND(ISNUMBER($G78),Q$9=$G78),"◆","")</x:f>
        <x:v/>
      </x:c>
      <x:c r="R78" s="34" t="str">
        <x:f>IF(AND(ISNUMBER($G78),R$9=$G78),"◆","")</x:f>
        <x:v/>
      </x:c>
      <x:c r="S78" s="34" t="str">
        <x:f>IF(AND(ISNUMBER($G78),S$9=$G78),"◆","")</x:f>
        <x:v/>
      </x:c>
      <x:c r="T78" s="34" t="str">
        <x:f>IF(AND(ISNUMBER($G78),T$9=$G78),"◆","")</x:f>
        <x:v/>
      </x:c>
      <x:c r="U78" s="34" t="str">
        <x:f>IF(AND(ISNUMBER($G78),U$9=$G78),"◆","")</x:f>
        <x:v/>
      </x:c>
      <x:c r="V78" s="76" t="str">
        <x:f>IF(AND(ISNUMBER($G78),V$9=$G78),"◆","")</x:f>
        <x:v/>
      </x:c>
      <x:c r="W78" s="86" t="str">
        <x:f>IF(AND(ISNUMBER($G78),W$9=$G78),"◆","")</x:f>
        <x:v/>
      </x:c>
      <x:c r="X78" s="83" t="str">
        <x:f>IF(AND(ISNUMBER($G78),X$9=$G78),"◆","")</x:f>
        <x:v/>
      </x:c>
      <x:c r="Y78" s="34" t="str">
        <x:f>IF(AND(ISNUMBER($G78),Y$9=$G78),"◆","")</x:f>
        <x:v/>
      </x:c>
      <x:c r="Z78" s="34" t="str">
        <x:f>IF(AND(ISNUMBER($G78),Z$9=$G78),"◆","")</x:f>
        <x:v/>
      </x:c>
      <x:c r="AA78" s="34" t="str">
        <x:f>IF(AND(ISNUMBER($G78),AA$9=$G78),"◆","")</x:f>
        <x:v/>
      </x:c>
      <x:c r="AB78" s="34" t="str">
        <x:f>IF(AND(ISNUMBER($G78),AB$9=$G78),"◆","")</x:f>
        <x:v/>
      </x:c>
      <x:c r="AC78" s="76" t="str">
        <x:f>IF(AND(ISNUMBER($G78),AC$9=$G78),"◆","")</x:f>
        <x:v/>
      </x:c>
      <x:c r="AD78" s="76" t="str">
        <x:f>IF(AND(ISNUMBER($G78),AD$9=$G78),"◆","")</x:f>
        <x:v/>
      </x:c>
      <x:c r="AE78" s="83" t="str">
        <x:f>IF(AND(ISNUMBER($G78),AE$9=$G78),"◆","")</x:f>
        <x:v/>
      </x:c>
      <x:c r="AF78" s="34" t="str">
        <x:f>IF(AND(ISNUMBER($G78),AF$9=$G78),"◆","")</x:f>
        <x:v>◆</x:v>
      </x:c>
      <x:c r="AG78" s="34" t="str">
        <x:f>IF(AND(ISNUMBER($G78),AG$9=$G78),"◆","")</x:f>
        <x:v/>
      </x:c>
      <x:c r="AH78" s="34" t="str">
        <x:f>IF(AND(ISNUMBER($G78),AH$9=$G78),"◆","")</x:f>
        <x:v/>
      </x:c>
      <x:c r="AI78" s="34" t="str">
        <x:f>IF(AND(ISNUMBER($G78),AI$9=$G78),"◆","")</x:f>
        <x:v/>
      </x:c>
      <x:c r="AJ78" s="76" t="str">
        <x:f>IF(AND(ISNUMBER($G78),AJ$9=$G78),"◆","")</x:f>
        <x:v/>
      </x:c>
      <x:c r="AK78" s="76" t="str">
        <x:f>IF(AND(ISNUMBER($G78),AK$9=$G78),"◆","")</x:f>
        <x:v/>
      </x:c>
      <x:c r="AL78" s="83" t="str">
        <x:f>IF(AND(ISNUMBER($G78),AL$9=$G78),"◆","")</x:f>
        <x:v/>
      </x:c>
      <x:c r="AM78" s="4" t="str">
        <x:v>06 재검증·복구</x:v>
      </x:c>
      <x:c r="AN78" s="49" t="n">
        <x:v>46332</x:v>
      </x:c>
      <x:c r="AO78" s="49" t="n">
        <x:v>46335</x:v>
      </x:c>
      <x:c r="AP78" s="4" t="str">
        <x:v>11/06 통합 후 및 11/09–10. M3 실행·M5 요청 대조. 배포 버전 롤백(D8)과 다른 시험.</x:v>
      </x:c>
      <x:c r="AQ78" s="4" t="str">
        <x:v>#11 OPEN 0/7; #27 OPEN 0/4</x:v>
      </x:c>
      <x:c r="AR78" s="4" t="n">
        <x:f>IF(OR(ISNUMBER(SEARCH(AR$9,$D78)),ISNUMBER(SEARCH(AR$9,$E78))),1*100000000+IF(ISNUMBER($F78),$F78,99999)*1000+ROW(),1000000000)</x:f>
        <x:v>1000000000.0</x:v>
      </x:c>
      <x:c r="AS78" s="4" t="n">
        <x:f>IF(OR(ISNUMBER(SEARCH(AS$9,$D78)),ISNUMBER(SEARCH(AS$9,$E78))),2*100000000+IF(ISNUMBER($F78),$F78,99999)*1000+ROW(),1000000000)</x:f>
        <x:v>1000000000.0</x:v>
      </x:c>
      <x:c r="AT78" s="4" t="n">
        <x:f>IF(OR(ISNUMBER(SEARCH(AT$9,$D78)),ISNUMBER(SEARCH(AT$9,$E78))),3*100000000+IF(ISNUMBER($F78),$F78,99999)*1000+ROW(),1000000000)</x:f>
        <x:v>346332078.0</x:v>
      </x:c>
      <x:c r="AU78" s="4" t="n">
        <x:f>IF(OR(ISNUMBER(SEARCH(AU$9,$D78)),ISNUMBER(SEARCH(AU$9,$E78))),4*100000000+IF(ISNUMBER($F78),$F78,99999)*1000+ROW(),1000000000)</x:f>
        <x:v>1000000000.0</x:v>
      </x:c>
      <x:c r="AV78" s="4" t="n">
        <x:f>IF(OR(ISNUMBER(SEARCH(AV$9,$D78)),ISNUMBER(SEARCH(AV$9,$E78))),5*100000000+IF(ISNUMBER($F78),$F78,99999)*1000+ROW(),1000000000)</x:f>
        <x:v>546332078.0</x:v>
      </x:c>
      <x:c r="AW78" s="4" t="str">
        <x:v>https://github.com/team-blocks-lab/otter-shield/issues/11</x:v>
      </x:c>
      <x:c r="AX78" s="4" t="str">
        <x:v>#11; #27</x:v>
      </x:c>
      <x:c r="AY78" s="106" t="str">
        <x:v>앱·노드·VIP별 오류/복구 시각과 실제 요청</x:v>
      </x:c>
    </x:row>
    <x:row r="79" ht="31" customHeight="1">
      <x:c r="A79" s="66" t="str">
        <x:v>C12.3</x:v>
      </x:c>
      <x:c r="B79" s="67" t="str">
        <x:v>보안·검증</x:v>
      </x:c>
      <x:c r="C79" s="31" t="str">
        <x:v>RDS 격리 복원 검증·임시 자원 정리</x:v>
      </x:c>
      <x:c r="D79" s="31" t="str">
        <x:v>M5 유은혜(PM)</x:v>
      </x:c>
      <x:c r="E79" s="31" t="str">
        <x:v>—</x:v>
      </x:c>
      <x:c r="F79" s="41" t="n">
        <x:v>46335</x:v>
      </x:c>
      <x:c r="G79" s="41" t="n">
        <x:v>46336</x:v>
      </x:c>
      <x:c r="H79" s="42" t="str">
        <x:v>미확인</x:v>
      </x:c>
      <x:c r="I79" s="31" t="str">
        <x:v>D5.2, C8</x:v>
      </x:c>
      <x:c r="J79" s="65" t="str">
        <x:f>HYPERLINK($AW79,"#12")</x:f>
        <x:v>#12</x:v>
      </x:c>
      <x:c r="K79" s="34" t="str">
        <x:f>IF(AND(ISNUMBER($G79),K$9=$G79),"◆","")</x:f>
        <x:v/>
      </x:c>
      <x:c r="L79" s="74" t="str">
        <x:f>IF(AND(ISNUMBER($G79),L$9=$G79),"◆","")</x:f>
        <x:v/>
      </x:c>
      <x:c r="M79" s="34" t="str">
        <x:f>IF(AND(ISNUMBER($G79),M$9=$G79),"◆","")</x:f>
        <x:v/>
      </x:c>
      <x:c r="N79" s="34" t="str">
        <x:f>IF(AND(ISNUMBER($G79),N$9=$G79),"◆","")</x:f>
        <x:v/>
      </x:c>
      <x:c r="O79" s="76" t="str">
        <x:f>IF(AND(ISNUMBER($G79),O$9=$G79),"◆","")</x:f>
        <x:v/>
      </x:c>
      <x:c r="P79" s="76" t="str">
        <x:f>IF(AND(ISNUMBER($G79),P$9=$G79),"◆","")</x:f>
        <x:v/>
      </x:c>
      <x:c r="Q79" s="83" t="str">
        <x:f>IF(AND(ISNUMBER($G79),Q$9=$G79),"◆","")</x:f>
        <x:v/>
      </x:c>
      <x:c r="R79" s="34" t="str">
        <x:f>IF(AND(ISNUMBER($G79),R$9=$G79),"◆","")</x:f>
        <x:v/>
      </x:c>
      <x:c r="S79" s="34" t="str">
        <x:f>IF(AND(ISNUMBER($G79),S$9=$G79),"◆","")</x:f>
        <x:v/>
      </x:c>
      <x:c r="T79" s="34" t="str">
        <x:f>IF(AND(ISNUMBER($G79),T$9=$G79),"◆","")</x:f>
        <x:v/>
      </x:c>
      <x:c r="U79" s="34" t="str">
        <x:f>IF(AND(ISNUMBER($G79),U$9=$G79),"◆","")</x:f>
        <x:v/>
      </x:c>
      <x:c r="V79" s="76" t="str">
        <x:f>IF(AND(ISNUMBER($G79),V$9=$G79),"◆","")</x:f>
        <x:v/>
      </x:c>
      <x:c r="W79" s="86" t="str">
        <x:f>IF(AND(ISNUMBER($G79),W$9=$G79),"◆","")</x:f>
        <x:v/>
      </x:c>
      <x:c r="X79" s="83" t="str">
        <x:f>IF(AND(ISNUMBER($G79),X$9=$G79),"◆","")</x:f>
        <x:v/>
      </x:c>
      <x:c r="Y79" s="34" t="str">
        <x:f>IF(AND(ISNUMBER($G79),Y$9=$G79),"◆","")</x:f>
        <x:v/>
      </x:c>
      <x:c r="Z79" s="34" t="str">
        <x:f>IF(AND(ISNUMBER($G79),Z$9=$G79),"◆","")</x:f>
        <x:v/>
      </x:c>
      <x:c r="AA79" s="34" t="str">
        <x:f>IF(AND(ISNUMBER($G79),AA$9=$G79),"◆","")</x:f>
        <x:v/>
      </x:c>
      <x:c r="AB79" s="34" t="str">
        <x:f>IF(AND(ISNUMBER($G79),AB$9=$G79),"◆","")</x:f>
        <x:v/>
      </x:c>
      <x:c r="AC79" s="76" t="str">
        <x:f>IF(AND(ISNUMBER($G79),AC$9=$G79),"◆","")</x:f>
        <x:v/>
      </x:c>
      <x:c r="AD79" s="76" t="str">
        <x:f>IF(AND(ISNUMBER($G79),AD$9=$G79),"◆","")</x:f>
        <x:v/>
      </x:c>
      <x:c r="AE79" s="83" t="str">
        <x:f>IF(AND(ISNUMBER($G79),AE$9=$G79),"◆","")</x:f>
        <x:v/>
      </x:c>
      <x:c r="AF79" s="34" t="str">
        <x:f>IF(AND(ISNUMBER($G79),AF$9=$G79),"◆","")</x:f>
        <x:v>◆</x:v>
      </x:c>
      <x:c r="AG79" s="34" t="str">
        <x:f>IF(AND(ISNUMBER($G79),AG$9=$G79),"◆","")</x:f>
        <x:v/>
      </x:c>
      <x:c r="AH79" s="34" t="str">
        <x:f>IF(AND(ISNUMBER($G79),AH$9=$G79),"◆","")</x:f>
        <x:v/>
      </x:c>
      <x:c r="AI79" s="34" t="str">
        <x:f>IF(AND(ISNUMBER($G79),AI$9=$G79),"◆","")</x:f>
        <x:v/>
      </x:c>
      <x:c r="AJ79" s="76" t="str">
        <x:f>IF(AND(ISNUMBER($G79),AJ$9=$G79),"◆","")</x:f>
        <x:v/>
      </x:c>
      <x:c r="AK79" s="76" t="str">
        <x:f>IF(AND(ISNUMBER($G79),AK$9=$G79),"◆","")</x:f>
        <x:v/>
      </x:c>
      <x:c r="AL79" s="83" t="str">
        <x:f>IF(AND(ISNUMBER($G79),AL$9=$G79),"◆","")</x:f>
        <x:v/>
      </x:c>
      <x:c r="AM79" s="4" t="str">
        <x:v>06 재검증·복구</x:v>
      </x:c>
      <x:c r="AN79" s="49"/>
      <x:c r="AO79" s="49"/>
      <x:c r="AP79" s="4" t="str">
        <x:v>S05와 독립. 스냅샷을 별도 DB로 복원하고 임시 자원·보존 비용 확인.</x:v>
      </x:c>
      <x:c r="AQ79" s="4" t="str">
        <x:v>#12 OPEN 0/19</x:v>
      </x:c>
      <x:c r="AR79" s="4" t="n">
        <x:f>IF(OR(ISNUMBER(SEARCH(AR$9,$D79)),ISNUMBER(SEARCH(AR$9,$E79))),1*100000000+IF(ISNUMBER($F79),$F79,99999)*1000+ROW(),1000000000)</x:f>
        <x:v>1000000000.0</x:v>
      </x:c>
      <x:c r="AS79" s="4" t="n">
        <x:f>IF(OR(ISNUMBER(SEARCH(AS$9,$D79)),ISNUMBER(SEARCH(AS$9,$E79))),2*100000000+IF(ISNUMBER($F79),$F79,99999)*1000+ROW(),1000000000)</x:f>
        <x:v>1000000000.0</x:v>
      </x:c>
      <x:c r="AT79" s="4" t="n">
        <x:f>IF(OR(ISNUMBER(SEARCH(AT$9,$D79)),ISNUMBER(SEARCH(AT$9,$E79))),3*100000000+IF(ISNUMBER($F79),$F79,99999)*1000+ROW(),1000000000)</x:f>
        <x:v>1000000000.0</x:v>
      </x:c>
      <x:c r="AU79" s="4" t="n">
        <x:f>IF(OR(ISNUMBER(SEARCH(AU$9,$D79)),ISNUMBER(SEARCH(AU$9,$E79))),4*100000000+IF(ISNUMBER($F79),$F79,99999)*1000+ROW(),1000000000)</x:f>
        <x:v>1000000000.0</x:v>
      </x:c>
      <x:c r="AV79" s="4" t="n">
        <x:f>IF(OR(ISNUMBER(SEARCH(AV$9,$D79)),ISNUMBER(SEARCH(AV$9,$E79))),5*100000000+IF(ISNUMBER($F79),$F79,99999)*1000+ROW(),1000000000)</x:f>
        <x:v>546335079.0</x:v>
      </x:c>
      <x:c r="AW79" s="4" t="str">
        <x:v>https://github.com/team-blocks-lab/otter-shield/issues/12</x:v>
      </x:c>
      <x:c r="AX79" s="4" t="str">
        <x:v>#12</x:v>
      </x:c>
      <x:c r="AY79" s="106" t="str">
        <x:v>별도 RDS 복원·데이터 확인·임시 자원 정리</x:v>
      </x:c>
    </x:row>
    <x:row r="80" ht="24" customHeight="1">
      <x:c r="A80" s="56"/>
      <x:c r="B80" s="56"/>
      <x:c r="C80" s="56" t="str">
        <x:v>07 보고서·발표</x:v>
      </x:c>
      <x:c r="D80" s="56"/>
      <x:c r="E80" s="56"/>
      <x:c r="F80" s="57"/>
      <x:c r="G80" s="57"/>
      <x:c r="H80" s="58"/>
      <x:c r="I80" s="56"/>
      <x:c r="J80" s="56"/>
      <x:c r="K80" s="58"/>
      <x:c r="L80" s="73"/>
      <x:c r="M80" s="58"/>
      <x:c r="N80" s="58"/>
      <x:c r="O80" s="58"/>
      <x:c r="P80" s="58"/>
      <x:c r="Q80" s="82"/>
      <x:c r="R80" s="58"/>
      <x:c r="S80" s="58"/>
      <x:c r="T80" s="58"/>
      <x:c r="U80" s="58"/>
      <x:c r="V80" s="58"/>
      <x:c r="W80" s="82"/>
      <x:c r="X80" s="82"/>
      <x:c r="Y80" s="58"/>
      <x:c r="Z80" s="58"/>
      <x:c r="AA80" s="58"/>
      <x:c r="AB80" s="58"/>
      <x:c r="AC80" s="58"/>
      <x:c r="AD80" s="58"/>
      <x:c r="AE80" s="82"/>
      <x:c r="AF80" s="58"/>
      <x:c r="AG80" s="58"/>
      <x:c r="AH80" s="58"/>
      <x:c r="AI80" s="58"/>
      <x:c r="AJ80" s="58"/>
      <x:c r="AK80" s="58"/>
      <x:c r="AL80" s="82"/>
      <x:c r="AM80" s="4"/>
      <x:c r="AN80" s="49"/>
      <x:c r="AO80" s="49"/>
      <x:c r="AP80" s="4"/>
      <x:c r="AQ80" s="4"/>
      <x:c r="AR80" s="4" t="n">
        <x:v>1000000000</x:v>
      </x:c>
      <x:c r="AS80" s="4" t="n">
        <x:v>1000000000</x:v>
      </x:c>
      <x:c r="AT80" s="4" t="n">
        <x:v>1000000000</x:v>
      </x:c>
      <x:c r="AU80" s="4" t="n">
        <x:v>1000000000</x:v>
      </x:c>
      <x:c r="AV80" s="4" t="n">
        <x:v>1000000000</x:v>
      </x:c>
      <x:c r="AW80" s="4"/>
      <x:c r="AX80" s="4"/>
      <x:c r="AY80" s="106"/>
    </x:row>
    <x:row r="81" ht="31" customHeight="1">
      <x:c r="A81" s="66" t="str">
        <x:v>I18</x:v>
      </x:c>
      <x:c r="B81" s="67" t="str">
        <x:v>공동·관리</x:v>
      </x:c>
      <x:c r="C81" s="31" t="str">
        <x:v>M1 결과·발표자료 정리</x:v>
      </x:c>
      <x:c r="D81" s="31" t="str">
        <x:v>M1 유용수</x:v>
      </x:c>
      <x:c r="E81" s="31" t="str">
        <x:v>M5 유은혜</x:v>
      </x:c>
      <x:c r="F81" s="41" t="n">
        <x:v>46337</x:v>
      </x:c>
      <x:c r="G81" s="41" t="n">
        <x:v>46338</x:v>
      </x:c>
      <x:c r="H81" s="42" t="str">
        <x:v>미확인</x:v>
      </x:c>
      <x:c r="I81" s="31" t="str">
        <x:v>I17</x:v>
      </x:c>
      <x:c r="J81" s="65" t="str">
        <x:f>HYPERLINK($AW81,"#18 +1")</x:f>
        <x:v>#18 +1</x:v>
      </x:c>
      <x:c r="K81" s="34" t="str">
        <x:f>IF(AND(ISNUMBER($G81),K$9=$G81),"◆","")</x:f>
        <x:v/>
      </x:c>
      <x:c r="L81" s="74" t="str">
        <x:f>IF(AND(ISNUMBER($G81),L$9=$G81),"◆","")</x:f>
        <x:v/>
      </x:c>
      <x:c r="M81" s="34" t="str">
        <x:f>IF(AND(ISNUMBER($G81),M$9=$G81),"◆","")</x:f>
        <x:v/>
      </x:c>
      <x:c r="N81" s="34" t="str">
        <x:f>IF(AND(ISNUMBER($G81),N$9=$G81),"◆","")</x:f>
        <x:v/>
      </x:c>
      <x:c r="O81" s="76" t="str">
        <x:f>IF(AND(ISNUMBER($G81),O$9=$G81),"◆","")</x:f>
        <x:v/>
      </x:c>
      <x:c r="P81" s="76" t="str">
        <x:f>IF(AND(ISNUMBER($G81),P$9=$G81),"◆","")</x:f>
        <x:v/>
      </x:c>
      <x:c r="Q81" s="83" t="str">
        <x:f>IF(AND(ISNUMBER($G81),Q$9=$G81),"◆","")</x:f>
        <x:v/>
      </x:c>
      <x:c r="R81" s="34" t="str">
        <x:f>IF(AND(ISNUMBER($G81),R$9=$G81),"◆","")</x:f>
        <x:v/>
      </x:c>
      <x:c r="S81" s="34" t="str">
        <x:f>IF(AND(ISNUMBER($G81),S$9=$G81),"◆","")</x:f>
        <x:v/>
      </x:c>
      <x:c r="T81" s="34" t="str">
        <x:f>IF(AND(ISNUMBER($G81),T$9=$G81),"◆","")</x:f>
        <x:v/>
      </x:c>
      <x:c r="U81" s="34" t="str">
        <x:f>IF(AND(ISNUMBER($G81),U$9=$G81),"◆","")</x:f>
        <x:v/>
      </x:c>
      <x:c r="V81" s="76" t="str">
        <x:f>IF(AND(ISNUMBER($G81),V$9=$G81),"◆","")</x:f>
        <x:v/>
      </x:c>
      <x:c r="W81" s="86" t="str">
        <x:f>IF(AND(ISNUMBER($G81),W$9=$G81),"◆","")</x:f>
        <x:v/>
      </x:c>
      <x:c r="X81" s="83" t="str">
        <x:f>IF(AND(ISNUMBER($G81),X$9=$G81),"◆","")</x:f>
        <x:v/>
      </x:c>
      <x:c r="Y81" s="34" t="str">
        <x:f>IF(AND(ISNUMBER($G81),Y$9=$G81),"◆","")</x:f>
        <x:v/>
      </x:c>
      <x:c r="Z81" s="34" t="str">
        <x:f>IF(AND(ISNUMBER($G81),Z$9=$G81),"◆","")</x:f>
        <x:v/>
      </x:c>
      <x:c r="AA81" s="34" t="str">
        <x:f>IF(AND(ISNUMBER($G81),AA$9=$G81),"◆","")</x:f>
        <x:v/>
      </x:c>
      <x:c r="AB81" s="34" t="str">
        <x:f>IF(AND(ISNUMBER($G81),AB$9=$G81),"◆","")</x:f>
        <x:v/>
      </x:c>
      <x:c r="AC81" s="76" t="str">
        <x:f>IF(AND(ISNUMBER($G81),AC$9=$G81),"◆","")</x:f>
        <x:v/>
      </x:c>
      <x:c r="AD81" s="76" t="str">
        <x:f>IF(AND(ISNUMBER($G81),AD$9=$G81),"◆","")</x:f>
        <x:v/>
      </x:c>
      <x:c r="AE81" s="83" t="str">
        <x:f>IF(AND(ISNUMBER($G81),AE$9=$G81),"◆","")</x:f>
        <x:v/>
      </x:c>
      <x:c r="AF81" s="34" t="str">
        <x:f>IF(AND(ISNUMBER($G81),AF$9=$G81),"◆","")</x:f>
        <x:v/>
      </x:c>
      <x:c r="AG81" s="34" t="str">
        <x:f>IF(AND(ISNUMBER($G81),AG$9=$G81),"◆","")</x:f>
        <x:v/>
      </x:c>
      <x:c r="AH81" s="34" t="str">
        <x:f>IF(AND(ISNUMBER($G81),AH$9=$G81),"◆","")</x:f>
        <x:v>◆</x:v>
      </x:c>
      <x:c r="AI81" s="34" t="str">
        <x:f>IF(AND(ISNUMBER($G81),AI$9=$G81),"◆","")</x:f>
        <x:v/>
      </x:c>
      <x:c r="AJ81" s="76" t="str">
        <x:f>IF(AND(ISNUMBER($G81),AJ$9=$G81),"◆","")</x:f>
        <x:v/>
      </x:c>
      <x:c r="AK81" s="76" t="str">
        <x:f>IF(AND(ISNUMBER($G81),AK$9=$G81),"◆","")</x:f>
        <x:v/>
      </x:c>
      <x:c r="AL81" s="83" t="str">
        <x:f>IF(AND(ISNUMBER($G81),AL$9=$G81),"◆","")</x:f>
        <x:v/>
      </x:c>
      <x:c r="AM81" s="4" t="str">
        <x:v>07 보고서·발표</x:v>
      </x:c>
      <x:c r="AN81" s="49"/>
      <x:c r="AO81" s="49"/>
      <x:c r="AP81" s="4" t="str">
        <x:v>11/11 증거, 11/12 자료 취합. 원 Issue 마감 11/13의 리허설은 C13.2로 공동 연결.</x:v>
      </x:c>
      <x:c r="AQ81" s="4" t="str">
        <x:v>#18 OPEN 0/5; #13 OPEN 0/6</x:v>
      </x:c>
      <x:c r="AR81" s="4" t="n">
        <x:f>IF(OR(ISNUMBER(SEARCH(AR$9,$D81)),ISNUMBER(SEARCH(AR$9,$E81))),1*100000000+IF(ISNUMBER($F81),$F81,99999)*1000+ROW(),1000000000)</x:f>
        <x:v>146337081.0</x:v>
      </x:c>
      <x:c r="AS81" s="4" t="n">
        <x:f>IF(OR(ISNUMBER(SEARCH(AS$9,$D81)),ISNUMBER(SEARCH(AS$9,$E81))),2*100000000+IF(ISNUMBER($F81),$F81,99999)*1000+ROW(),1000000000)</x:f>
        <x:v>1000000000.0</x:v>
      </x:c>
      <x:c r="AT81" s="4" t="n">
        <x:f>IF(OR(ISNUMBER(SEARCH(AT$9,$D81)),ISNUMBER(SEARCH(AT$9,$E81))),3*100000000+IF(ISNUMBER($F81),$F81,99999)*1000+ROW(),1000000000)</x:f>
        <x:v>1000000000.0</x:v>
      </x:c>
      <x:c r="AU81" s="4" t="n">
        <x:f>IF(OR(ISNUMBER(SEARCH(AU$9,$D81)),ISNUMBER(SEARCH(AU$9,$E81))),4*100000000+IF(ISNUMBER($F81),$F81,99999)*1000+ROW(),1000000000)</x:f>
        <x:v>1000000000.0</x:v>
      </x:c>
      <x:c r="AV81" s="4" t="n">
        <x:f>IF(OR(ISNUMBER(SEARCH(AV$9,$D81)),ISNUMBER(SEARCH(AV$9,$E81))),5*100000000+IF(ISNUMBER($F81),$F81,99999)*1000+ROW(),1000000000)</x:f>
        <x:v>546337081.0</x:v>
      </x:c>
      <x:c r="AW81" s="4" t="str">
        <x:v>https://github.com/team-blocks-lab/otter-shield/issues/18</x:v>
      </x:c>
      <x:c r="AX81" s="4" t="str">
        <x:v>#18; #13</x:v>
      </x:c>
      <x:c r="AY81" s="106" t="str">
        <x:v>완료 후</x:v>
      </x:c>
    </x:row>
    <x:row r="82" ht="31" customHeight="1">
      <x:c r="A82" s="66" t="str">
        <x:v>I23</x:v>
      </x:c>
      <x:c r="B82" s="67" t="str">
        <x:v>공동·관리</x:v>
      </x:c>
      <x:c r="C82" s="31" t="str">
        <x:v>M2 결과·발표자료 정리</x:v>
      </x:c>
      <x:c r="D82" s="31" t="str">
        <x:v>M2 윤서영</x:v>
      </x:c>
      <x:c r="E82" s="31" t="str">
        <x:v>M5 유은혜</x:v>
      </x:c>
      <x:c r="F82" s="41" t="n">
        <x:v>46337</x:v>
      </x:c>
      <x:c r="G82" s="41" t="n">
        <x:v>46338</x:v>
      </x:c>
      <x:c r="H82" s="42" t="str">
        <x:v>미확인</x:v>
      </x:c>
      <x:c r="I82" s="31" t="str">
        <x:v>I22</x:v>
      </x:c>
      <x:c r="J82" s="65" t="str">
        <x:f>HYPERLINK($AW82,"#23 +1")</x:f>
        <x:v>#23 +1</x:v>
      </x:c>
      <x:c r="K82" s="34" t="str">
        <x:f>IF(AND(ISNUMBER($G82),K$9=$G82),"◆","")</x:f>
        <x:v/>
      </x:c>
      <x:c r="L82" s="74" t="str">
        <x:f>IF(AND(ISNUMBER($G82),L$9=$G82),"◆","")</x:f>
        <x:v/>
      </x:c>
      <x:c r="M82" s="34" t="str">
        <x:f>IF(AND(ISNUMBER($G82),M$9=$G82),"◆","")</x:f>
        <x:v/>
      </x:c>
      <x:c r="N82" s="34" t="str">
        <x:f>IF(AND(ISNUMBER($G82),N$9=$G82),"◆","")</x:f>
        <x:v/>
      </x:c>
      <x:c r="O82" s="76" t="str">
        <x:f>IF(AND(ISNUMBER($G82),O$9=$G82),"◆","")</x:f>
        <x:v/>
      </x:c>
      <x:c r="P82" s="76" t="str">
        <x:f>IF(AND(ISNUMBER($G82),P$9=$G82),"◆","")</x:f>
        <x:v/>
      </x:c>
      <x:c r="Q82" s="83" t="str">
        <x:f>IF(AND(ISNUMBER($G82),Q$9=$G82),"◆","")</x:f>
        <x:v/>
      </x:c>
      <x:c r="R82" s="34" t="str">
        <x:f>IF(AND(ISNUMBER($G82),R$9=$G82),"◆","")</x:f>
        <x:v/>
      </x:c>
      <x:c r="S82" s="34" t="str">
        <x:f>IF(AND(ISNUMBER($G82),S$9=$G82),"◆","")</x:f>
        <x:v/>
      </x:c>
      <x:c r="T82" s="34" t="str">
        <x:f>IF(AND(ISNUMBER($G82),T$9=$G82),"◆","")</x:f>
        <x:v/>
      </x:c>
      <x:c r="U82" s="34" t="str">
        <x:f>IF(AND(ISNUMBER($G82),U$9=$G82),"◆","")</x:f>
        <x:v/>
      </x:c>
      <x:c r="V82" s="76" t="str">
        <x:f>IF(AND(ISNUMBER($G82),V$9=$G82),"◆","")</x:f>
        <x:v/>
      </x:c>
      <x:c r="W82" s="86" t="str">
        <x:f>IF(AND(ISNUMBER($G82),W$9=$G82),"◆","")</x:f>
        <x:v/>
      </x:c>
      <x:c r="X82" s="83" t="str">
        <x:f>IF(AND(ISNUMBER($G82),X$9=$G82),"◆","")</x:f>
        <x:v/>
      </x:c>
      <x:c r="Y82" s="34" t="str">
        <x:f>IF(AND(ISNUMBER($G82),Y$9=$G82),"◆","")</x:f>
        <x:v/>
      </x:c>
      <x:c r="Z82" s="34" t="str">
        <x:f>IF(AND(ISNUMBER($G82),Z$9=$G82),"◆","")</x:f>
        <x:v/>
      </x:c>
      <x:c r="AA82" s="34" t="str">
        <x:f>IF(AND(ISNUMBER($G82),AA$9=$G82),"◆","")</x:f>
        <x:v/>
      </x:c>
      <x:c r="AB82" s="34" t="str">
        <x:f>IF(AND(ISNUMBER($G82),AB$9=$G82),"◆","")</x:f>
        <x:v/>
      </x:c>
      <x:c r="AC82" s="76" t="str">
        <x:f>IF(AND(ISNUMBER($G82),AC$9=$G82),"◆","")</x:f>
        <x:v/>
      </x:c>
      <x:c r="AD82" s="76" t="str">
        <x:f>IF(AND(ISNUMBER($G82),AD$9=$G82),"◆","")</x:f>
        <x:v/>
      </x:c>
      <x:c r="AE82" s="83" t="str">
        <x:f>IF(AND(ISNUMBER($G82),AE$9=$G82),"◆","")</x:f>
        <x:v/>
      </x:c>
      <x:c r="AF82" s="34" t="str">
        <x:f>IF(AND(ISNUMBER($G82),AF$9=$G82),"◆","")</x:f>
        <x:v/>
      </x:c>
      <x:c r="AG82" s="34" t="str">
        <x:f>IF(AND(ISNUMBER($G82),AG$9=$G82),"◆","")</x:f>
        <x:v/>
      </x:c>
      <x:c r="AH82" s="34" t="str">
        <x:f>IF(AND(ISNUMBER($G82),AH$9=$G82),"◆","")</x:f>
        <x:v>◆</x:v>
      </x:c>
      <x:c r="AI82" s="34" t="str">
        <x:f>IF(AND(ISNUMBER($G82),AI$9=$G82),"◆","")</x:f>
        <x:v/>
      </x:c>
      <x:c r="AJ82" s="76" t="str">
        <x:f>IF(AND(ISNUMBER($G82),AJ$9=$G82),"◆","")</x:f>
        <x:v/>
      </x:c>
      <x:c r="AK82" s="76" t="str">
        <x:f>IF(AND(ISNUMBER($G82),AK$9=$G82),"◆","")</x:f>
        <x:v/>
      </x:c>
      <x:c r="AL82" s="83" t="str">
        <x:f>IF(AND(ISNUMBER($G82),AL$9=$G82),"◆","")</x:f>
        <x:v/>
      </x:c>
      <x:c r="AM82" s="4" t="str">
        <x:v>07 보고서·발표</x:v>
      </x:c>
      <x:c r="AN82" s="49"/>
      <x:c r="AO82" s="49"/>
      <x:c r="AP82" s="4" t="str">
        <x:v>11/11 증거, 11/12 자료 취합. 원 Issue 마감 11/13의 리허설은 C13.2로 공동 연결.</x:v>
      </x:c>
      <x:c r="AQ82" s="4" t="str">
        <x:v>#23 OPEN 0/5; #13 OPEN 0/6</x:v>
      </x:c>
      <x:c r="AR82" s="4" t="n">
        <x:f>IF(OR(ISNUMBER(SEARCH(AR$9,$D82)),ISNUMBER(SEARCH(AR$9,$E82))),1*100000000+IF(ISNUMBER($F82),$F82,99999)*1000+ROW(),1000000000)</x:f>
        <x:v>1000000000.0</x:v>
      </x:c>
      <x:c r="AS82" s="4" t="n">
        <x:f>IF(OR(ISNUMBER(SEARCH(AS$9,$D82)),ISNUMBER(SEARCH(AS$9,$E82))),2*100000000+IF(ISNUMBER($F82),$F82,99999)*1000+ROW(),1000000000)</x:f>
        <x:v>246337082.0</x:v>
      </x:c>
      <x:c r="AT82" s="4" t="n">
        <x:f>IF(OR(ISNUMBER(SEARCH(AT$9,$D82)),ISNUMBER(SEARCH(AT$9,$E82))),3*100000000+IF(ISNUMBER($F82),$F82,99999)*1000+ROW(),1000000000)</x:f>
        <x:v>1000000000.0</x:v>
      </x:c>
      <x:c r="AU82" s="4" t="n">
        <x:f>IF(OR(ISNUMBER(SEARCH(AU$9,$D82)),ISNUMBER(SEARCH(AU$9,$E82))),4*100000000+IF(ISNUMBER($F82),$F82,99999)*1000+ROW(),1000000000)</x:f>
        <x:v>1000000000.0</x:v>
      </x:c>
      <x:c r="AV82" s="4" t="n">
        <x:f>IF(OR(ISNUMBER(SEARCH(AV$9,$D82)),ISNUMBER(SEARCH(AV$9,$E82))),5*100000000+IF(ISNUMBER($F82),$F82,99999)*1000+ROW(),1000000000)</x:f>
        <x:v>546337082.0</x:v>
      </x:c>
      <x:c r="AW82" s="4" t="str">
        <x:v>https://github.com/team-blocks-lab/otter-shield/issues/23</x:v>
      </x:c>
      <x:c r="AX82" s="4" t="str">
        <x:v>#23; #13</x:v>
      </x:c>
      <x:c r="AY82" s="106" t="str">
        <x:v>완료 후</x:v>
      </x:c>
    </x:row>
    <x:row r="83" ht="31" customHeight="1">
      <x:c r="A83" s="66" t="str">
        <x:v>I28</x:v>
      </x:c>
      <x:c r="B83" s="67" t="str">
        <x:v>공동·관리</x:v>
      </x:c>
      <x:c r="C83" s="31" t="str">
        <x:v>M3 결과·발표자료 정리</x:v>
      </x:c>
      <x:c r="D83" s="31" t="str">
        <x:v>M3 홍은서(PL)</x:v>
      </x:c>
      <x:c r="E83" s="31" t="str">
        <x:v>M5 유은혜</x:v>
      </x:c>
      <x:c r="F83" s="41" t="n">
        <x:v>46337</x:v>
      </x:c>
      <x:c r="G83" s="41" t="n">
        <x:v>46338</x:v>
      </x:c>
      <x:c r="H83" s="42" t="str">
        <x:v>미확인</x:v>
      </x:c>
      <x:c r="I83" s="31" t="str">
        <x:v>I27</x:v>
      </x:c>
      <x:c r="J83" s="65" t="str">
        <x:f>HYPERLINK($AW83,"#28 +1")</x:f>
        <x:v>#28 +1</x:v>
      </x:c>
      <x:c r="K83" s="34" t="str">
        <x:f>IF(AND(ISNUMBER($G83),K$9=$G83),"◆","")</x:f>
        <x:v/>
      </x:c>
      <x:c r="L83" s="74" t="str">
        <x:f>IF(AND(ISNUMBER($G83),L$9=$G83),"◆","")</x:f>
        <x:v/>
      </x:c>
      <x:c r="M83" s="34" t="str">
        <x:f>IF(AND(ISNUMBER($G83),M$9=$G83),"◆","")</x:f>
        <x:v/>
      </x:c>
      <x:c r="N83" s="34" t="str">
        <x:f>IF(AND(ISNUMBER($G83),N$9=$G83),"◆","")</x:f>
        <x:v/>
      </x:c>
      <x:c r="O83" s="76" t="str">
        <x:f>IF(AND(ISNUMBER($G83),O$9=$G83),"◆","")</x:f>
        <x:v/>
      </x:c>
      <x:c r="P83" s="76" t="str">
        <x:f>IF(AND(ISNUMBER($G83),P$9=$G83),"◆","")</x:f>
        <x:v/>
      </x:c>
      <x:c r="Q83" s="83" t="str">
        <x:f>IF(AND(ISNUMBER($G83),Q$9=$G83),"◆","")</x:f>
        <x:v/>
      </x:c>
      <x:c r="R83" s="34" t="str">
        <x:f>IF(AND(ISNUMBER($G83),R$9=$G83),"◆","")</x:f>
        <x:v/>
      </x:c>
      <x:c r="S83" s="34" t="str">
        <x:f>IF(AND(ISNUMBER($G83),S$9=$G83),"◆","")</x:f>
        <x:v/>
      </x:c>
      <x:c r="T83" s="34" t="str">
        <x:f>IF(AND(ISNUMBER($G83),T$9=$G83),"◆","")</x:f>
        <x:v/>
      </x:c>
      <x:c r="U83" s="34" t="str">
        <x:f>IF(AND(ISNUMBER($G83),U$9=$G83),"◆","")</x:f>
        <x:v/>
      </x:c>
      <x:c r="V83" s="76" t="str">
        <x:f>IF(AND(ISNUMBER($G83),V$9=$G83),"◆","")</x:f>
        <x:v/>
      </x:c>
      <x:c r="W83" s="86" t="str">
        <x:f>IF(AND(ISNUMBER($G83),W$9=$G83),"◆","")</x:f>
        <x:v/>
      </x:c>
      <x:c r="X83" s="83" t="str">
        <x:f>IF(AND(ISNUMBER($G83),X$9=$G83),"◆","")</x:f>
        <x:v/>
      </x:c>
      <x:c r="Y83" s="34" t="str">
        <x:f>IF(AND(ISNUMBER($G83),Y$9=$G83),"◆","")</x:f>
        <x:v/>
      </x:c>
      <x:c r="Z83" s="34" t="str">
        <x:f>IF(AND(ISNUMBER($G83),Z$9=$G83),"◆","")</x:f>
        <x:v/>
      </x:c>
      <x:c r="AA83" s="34" t="str">
        <x:f>IF(AND(ISNUMBER($G83),AA$9=$G83),"◆","")</x:f>
        <x:v/>
      </x:c>
      <x:c r="AB83" s="34" t="str">
        <x:f>IF(AND(ISNUMBER($G83),AB$9=$G83),"◆","")</x:f>
        <x:v/>
      </x:c>
      <x:c r="AC83" s="76" t="str">
        <x:f>IF(AND(ISNUMBER($G83),AC$9=$G83),"◆","")</x:f>
        <x:v/>
      </x:c>
      <x:c r="AD83" s="76" t="str">
        <x:f>IF(AND(ISNUMBER($G83),AD$9=$G83),"◆","")</x:f>
        <x:v/>
      </x:c>
      <x:c r="AE83" s="83" t="str">
        <x:f>IF(AND(ISNUMBER($G83),AE$9=$G83),"◆","")</x:f>
        <x:v/>
      </x:c>
      <x:c r="AF83" s="34" t="str">
        <x:f>IF(AND(ISNUMBER($G83),AF$9=$G83),"◆","")</x:f>
        <x:v/>
      </x:c>
      <x:c r="AG83" s="34" t="str">
        <x:f>IF(AND(ISNUMBER($G83),AG$9=$G83),"◆","")</x:f>
        <x:v/>
      </x:c>
      <x:c r="AH83" s="34" t="str">
        <x:f>IF(AND(ISNUMBER($G83),AH$9=$G83),"◆","")</x:f>
        <x:v>◆</x:v>
      </x:c>
      <x:c r="AI83" s="34" t="str">
        <x:f>IF(AND(ISNUMBER($G83),AI$9=$G83),"◆","")</x:f>
        <x:v/>
      </x:c>
      <x:c r="AJ83" s="76" t="str">
        <x:f>IF(AND(ISNUMBER($G83),AJ$9=$G83),"◆","")</x:f>
        <x:v/>
      </x:c>
      <x:c r="AK83" s="76" t="str">
        <x:f>IF(AND(ISNUMBER($G83),AK$9=$G83),"◆","")</x:f>
        <x:v/>
      </x:c>
      <x:c r="AL83" s="83" t="str">
        <x:f>IF(AND(ISNUMBER($G83),AL$9=$G83),"◆","")</x:f>
        <x:v/>
      </x:c>
      <x:c r="AM83" s="4" t="str">
        <x:v>07 보고서·발표</x:v>
      </x:c>
      <x:c r="AN83" s="49"/>
      <x:c r="AO83" s="49"/>
      <x:c r="AP83" s="4" t="str">
        <x:v>11/11 증거, 11/12 자료 취합. 원 Issue 마감 11/13의 리허설은 C13.2로 공동 연결.</x:v>
      </x:c>
      <x:c r="AQ83" s="4" t="str">
        <x:v>#28 OPEN 0/5; #13 OPEN 0/6</x:v>
      </x:c>
      <x:c r="AR83" s="4" t="n">
        <x:f>IF(OR(ISNUMBER(SEARCH(AR$9,$D83)),ISNUMBER(SEARCH(AR$9,$E83))),1*100000000+IF(ISNUMBER($F83),$F83,99999)*1000+ROW(),1000000000)</x:f>
        <x:v>1000000000.0</x:v>
      </x:c>
      <x:c r="AS83" s="4" t="n">
        <x:f>IF(OR(ISNUMBER(SEARCH(AS$9,$D83)),ISNUMBER(SEARCH(AS$9,$E83))),2*100000000+IF(ISNUMBER($F83),$F83,99999)*1000+ROW(),1000000000)</x:f>
        <x:v>1000000000.0</x:v>
      </x:c>
      <x:c r="AT83" s="4" t="n">
        <x:f>IF(OR(ISNUMBER(SEARCH(AT$9,$D83)),ISNUMBER(SEARCH(AT$9,$E83))),3*100000000+IF(ISNUMBER($F83),$F83,99999)*1000+ROW(),1000000000)</x:f>
        <x:v>346337083.0</x:v>
      </x:c>
      <x:c r="AU83" s="4" t="n">
        <x:f>IF(OR(ISNUMBER(SEARCH(AU$9,$D83)),ISNUMBER(SEARCH(AU$9,$E83))),4*100000000+IF(ISNUMBER($F83),$F83,99999)*1000+ROW(),1000000000)</x:f>
        <x:v>1000000000.0</x:v>
      </x:c>
      <x:c r="AV83" s="4" t="n">
        <x:f>IF(OR(ISNUMBER(SEARCH(AV$9,$D83)),ISNUMBER(SEARCH(AV$9,$E83))),5*100000000+IF(ISNUMBER($F83),$F83,99999)*1000+ROW(),1000000000)</x:f>
        <x:v>546337083.0</x:v>
      </x:c>
      <x:c r="AW83" s="4" t="str">
        <x:v>https://github.com/team-blocks-lab/otter-shield/issues/28</x:v>
      </x:c>
      <x:c r="AX83" s="4" t="str">
        <x:v>#28; #13</x:v>
      </x:c>
      <x:c r="AY83" s="106" t="str">
        <x:v>완료 후</x:v>
      </x:c>
    </x:row>
    <x:row r="84" ht="31" customHeight="1">
      <x:c r="A84" s="66" t="str">
        <x:v>I33</x:v>
      </x:c>
      <x:c r="B84" s="67" t="str">
        <x:v>공동·관리</x:v>
      </x:c>
      <x:c r="C84" s="31" t="str">
        <x:v>M4 결과·발표자료 정리</x:v>
      </x:c>
      <x:c r="D84" s="31" t="str">
        <x:v>M4 박진혁</x:v>
      </x:c>
      <x:c r="E84" s="31" t="str">
        <x:v>M5 유은혜</x:v>
      </x:c>
      <x:c r="F84" s="41" t="n">
        <x:v>46337</x:v>
      </x:c>
      <x:c r="G84" s="41" t="n">
        <x:v>46338</x:v>
      </x:c>
      <x:c r="H84" s="42" t="str">
        <x:v>미확인</x:v>
      </x:c>
      <x:c r="I84" s="31" t="str">
        <x:v>I32</x:v>
      </x:c>
      <x:c r="J84" s="65" t="str">
        <x:f>HYPERLINK($AW84,"#33 +1")</x:f>
        <x:v>#33 +1</x:v>
      </x:c>
      <x:c r="K84" s="34" t="str">
        <x:f>IF(AND(ISNUMBER($G84),K$9=$G84),"◆","")</x:f>
        <x:v/>
      </x:c>
      <x:c r="L84" s="74" t="str">
        <x:f>IF(AND(ISNUMBER($G84),L$9=$G84),"◆","")</x:f>
        <x:v/>
      </x:c>
      <x:c r="M84" s="34" t="str">
        <x:f>IF(AND(ISNUMBER($G84),M$9=$G84),"◆","")</x:f>
        <x:v/>
      </x:c>
      <x:c r="N84" s="34" t="str">
        <x:f>IF(AND(ISNUMBER($G84),N$9=$G84),"◆","")</x:f>
        <x:v/>
      </x:c>
      <x:c r="O84" s="76" t="str">
        <x:f>IF(AND(ISNUMBER($G84),O$9=$G84),"◆","")</x:f>
        <x:v/>
      </x:c>
      <x:c r="P84" s="76" t="str">
        <x:f>IF(AND(ISNUMBER($G84),P$9=$G84),"◆","")</x:f>
        <x:v/>
      </x:c>
      <x:c r="Q84" s="83" t="str">
        <x:f>IF(AND(ISNUMBER($G84),Q$9=$G84),"◆","")</x:f>
        <x:v/>
      </x:c>
      <x:c r="R84" s="34" t="str">
        <x:f>IF(AND(ISNUMBER($G84),R$9=$G84),"◆","")</x:f>
        <x:v/>
      </x:c>
      <x:c r="S84" s="34" t="str">
        <x:f>IF(AND(ISNUMBER($G84),S$9=$G84),"◆","")</x:f>
        <x:v/>
      </x:c>
      <x:c r="T84" s="34" t="str">
        <x:f>IF(AND(ISNUMBER($G84),T$9=$G84),"◆","")</x:f>
        <x:v/>
      </x:c>
      <x:c r="U84" s="34" t="str">
        <x:f>IF(AND(ISNUMBER($G84),U$9=$G84),"◆","")</x:f>
        <x:v/>
      </x:c>
      <x:c r="V84" s="76" t="str">
        <x:f>IF(AND(ISNUMBER($G84),V$9=$G84),"◆","")</x:f>
        <x:v/>
      </x:c>
      <x:c r="W84" s="86" t="str">
        <x:f>IF(AND(ISNUMBER($G84),W$9=$G84),"◆","")</x:f>
        <x:v/>
      </x:c>
      <x:c r="X84" s="83" t="str">
        <x:f>IF(AND(ISNUMBER($G84),X$9=$G84),"◆","")</x:f>
        <x:v/>
      </x:c>
      <x:c r="Y84" s="34" t="str">
        <x:f>IF(AND(ISNUMBER($G84),Y$9=$G84),"◆","")</x:f>
        <x:v/>
      </x:c>
      <x:c r="Z84" s="34" t="str">
        <x:f>IF(AND(ISNUMBER($G84),Z$9=$G84),"◆","")</x:f>
        <x:v/>
      </x:c>
      <x:c r="AA84" s="34" t="str">
        <x:f>IF(AND(ISNUMBER($G84),AA$9=$G84),"◆","")</x:f>
        <x:v/>
      </x:c>
      <x:c r="AB84" s="34" t="str">
        <x:f>IF(AND(ISNUMBER($G84),AB$9=$G84),"◆","")</x:f>
        <x:v/>
      </x:c>
      <x:c r="AC84" s="76" t="str">
        <x:f>IF(AND(ISNUMBER($G84),AC$9=$G84),"◆","")</x:f>
        <x:v/>
      </x:c>
      <x:c r="AD84" s="76" t="str">
        <x:f>IF(AND(ISNUMBER($G84),AD$9=$G84),"◆","")</x:f>
        <x:v/>
      </x:c>
      <x:c r="AE84" s="83" t="str">
        <x:f>IF(AND(ISNUMBER($G84),AE$9=$G84),"◆","")</x:f>
        <x:v/>
      </x:c>
      <x:c r="AF84" s="34" t="str">
        <x:f>IF(AND(ISNUMBER($G84),AF$9=$G84),"◆","")</x:f>
        <x:v/>
      </x:c>
      <x:c r="AG84" s="34" t="str">
        <x:f>IF(AND(ISNUMBER($G84),AG$9=$G84),"◆","")</x:f>
        <x:v/>
      </x:c>
      <x:c r="AH84" s="34" t="str">
        <x:f>IF(AND(ISNUMBER($G84),AH$9=$G84),"◆","")</x:f>
        <x:v>◆</x:v>
      </x:c>
      <x:c r="AI84" s="34" t="str">
        <x:f>IF(AND(ISNUMBER($G84),AI$9=$G84),"◆","")</x:f>
        <x:v/>
      </x:c>
      <x:c r="AJ84" s="76" t="str">
        <x:f>IF(AND(ISNUMBER($G84),AJ$9=$G84),"◆","")</x:f>
        <x:v/>
      </x:c>
      <x:c r="AK84" s="76" t="str">
        <x:f>IF(AND(ISNUMBER($G84),AK$9=$G84),"◆","")</x:f>
        <x:v/>
      </x:c>
      <x:c r="AL84" s="83" t="str">
        <x:f>IF(AND(ISNUMBER($G84),AL$9=$G84),"◆","")</x:f>
        <x:v/>
      </x:c>
      <x:c r="AM84" s="4" t="str">
        <x:v>07 보고서·발표</x:v>
      </x:c>
      <x:c r="AN84" s="49"/>
      <x:c r="AO84" s="49"/>
      <x:c r="AP84" s="4" t="str">
        <x:v>11/11 증거, 11/12 자료 취합. 원 Issue 마감 11/13의 리허설은 C13.2로 공동 연결.</x:v>
      </x:c>
      <x:c r="AQ84" s="4" t="str">
        <x:v>#33 OPEN 0/5; #13 OPEN 0/6</x:v>
      </x:c>
      <x:c r="AR84" s="4" t="n">
        <x:f>IF(OR(ISNUMBER(SEARCH(AR$9,$D84)),ISNUMBER(SEARCH(AR$9,$E84))),1*100000000+IF(ISNUMBER($F84),$F84,99999)*1000+ROW(),1000000000)</x:f>
        <x:v>1000000000.0</x:v>
      </x:c>
      <x:c r="AS84" s="4" t="n">
        <x:f>IF(OR(ISNUMBER(SEARCH(AS$9,$D84)),ISNUMBER(SEARCH(AS$9,$E84))),2*100000000+IF(ISNUMBER($F84),$F84,99999)*1000+ROW(),1000000000)</x:f>
        <x:v>1000000000.0</x:v>
      </x:c>
      <x:c r="AT84" s="4" t="n">
        <x:f>IF(OR(ISNUMBER(SEARCH(AT$9,$D84)),ISNUMBER(SEARCH(AT$9,$E84))),3*100000000+IF(ISNUMBER($F84),$F84,99999)*1000+ROW(),1000000000)</x:f>
        <x:v>1000000000.0</x:v>
      </x:c>
      <x:c r="AU84" s="4" t="n">
        <x:f>IF(OR(ISNUMBER(SEARCH(AU$9,$D84)),ISNUMBER(SEARCH(AU$9,$E84))),4*100000000+IF(ISNUMBER($F84),$F84,99999)*1000+ROW(),1000000000)</x:f>
        <x:v>446337084.0</x:v>
      </x:c>
      <x:c r="AV84" s="4" t="n">
        <x:f>IF(OR(ISNUMBER(SEARCH(AV$9,$D84)),ISNUMBER(SEARCH(AV$9,$E84))),5*100000000+IF(ISNUMBER($F84),$F84,99999)*1000+ROW(),1000000000)</x:f>
        <x:v>546337084.0</x:v>
      </x:c>
      <x:c r="AW84" s="4" t="str">
        <x:v>https://github.com/team-blocks-lab/otter-shield/issues/33</x:v>
      </x:c>
      <x:c r="AX84" s="4" t="str">
        <x:v>#33; #13</x:v>
      </x:c>
      <x:c r="AY84" s="106" t="str">
        <x:v>완료 후</x:v>
      </x:c>
    </x:row>
    <x:row r="85" ht="31" customHeight="1">
      <x:c r="A85" s="66" t="str">
        <x:v>I38</x:v>
      </x:c>
      <x:c r="B85" s="67" t="str">
        <x:v>공동·관리</x:v>
      </x:c>
      <x:c r="C85" s="31" t="str">
        <x:v>M5 결과·발표자료 정리</x:v>
      </x:c>
      <x:c r="D85" s="31" t="str">
        <x:v>M5 유은혜(PM)</x:v>
      </x:c>
      <x:c r="E85" s="31" t="str">
        <x:v>M3 홍은서</x:v>
      </x:c>
      <x:c r="F85" s="41" t="n">
        <x:v>46337</x:v>
      </x:c>
      <x:c r="G85" s="41" t="n">
        <x:v>46338</x:v>
      </x:c>
      <x:c r="H85" s="42" t="str">
        <x:v>미확인</x:v>
      </x:c>
      <x:c r="I85" s="31" t="str">
        <x:v>I37</x:v>
      </x:c>
      <x:c r="J85" s="65" t="str">
        <x:f>HYPERLINK($AW85,"#38 +1")</x:f>
        <x:v>#38 +1</x:v>
      </x:c>
      <x:c r="K85" s="34" t="str">
        <x:f>IF(AND(ISNUMBER($G85),K$9=$G85),"◆","")</x:f>
        <x:v/>
      </x:c>
      <x:c r="L85" s="74" t="str">
        <x:f>IF(AND(ISNUMBER($G85),L$9=$G85),"◆","")</x:f>
        <x:v/>
      </x:c>
      <x:c r="M85" s="34" t="str">
        <x:f>IF(AND(ISNUMBER($G85),M$9=$G85),"◆","")</x:f>
        <x:v/>
      </x:c>
      <x:c r="N85" s="34" t="str">
        <x:f>IF(AND(ISNUMBER($G85),N$9=$G85),"◆","")</x:f>
        <x:v/>
      </x:c>
      <x:c r="O85" s="76" t="str">
        <x:f>IF(AND(ISNUMBER($G85),O$9=$G85),"◆","")</x:f>
        <x:v/>
      </x:c>
      <x:c r="P85" s="76" t="str">
        <x:f>IF(AND(ISNUMBER($G85),P$9=$G85),"◆","")</x:f>
        <x:v/>
      </x:c>
      <x:c r="Q85" s="83" t="str">
        <x:f>IF(AND(ISNUMBER($G85),Q$9=$G85),"◆","")</x:f>
        <x:v/>
      </x:c>
      <x:c r="R85" s="34" t="str">
        <x:f>IF(AND(ISNUMBER($G85),R$9=$G85),"◆","")</x:f>
        <x:v/>
      </x:c>
      <x:c r="S85" s="34" t="str">
        <x:f>IF(AND(ISNUMBER($G85),S$9=$G85),"◆","")</x:f>
        <x:v/>
      </x:c>
      <x:c r="T85" s="34" t="str">
        <x:f>IF(AND(ISNUMBER($G85),T$9=$G85),"◆","")</x:f>
        <x:v/>
      </x:c>
      <x:c r="U85" s="34" t="str">
        <x:f>IF(AND(ISNUMBER($G85),U$9=$G85),"◆","")</x:f>
        <x:v/>
      </x:c>
      <x:c r="V85" s="76" t="str">
        <x:f>IF(AND(ISNUMBER($G85),V$9=$G85),"◆","")</x:f>
        <x:v/>
      </x:c>
      <x:c r="W85" s="86" t="str">
        <x:f>IF(AND(ISNUMBER($G85),W$9=$G85),"◆","")</x:f>
        <x:v/>
      </x:c>
      <x:c r="X85" s="83" t="str">
        <x:f>IF(AND(ISNUMBER($G85),X$9=$G85),"◆","")</x:f>
        <x:v/>
      </x:c>
      <x:c r="Y85" s="34" t="str">
        <x:f>IF(AND(ISNUMBER($G85),Y$9=$G85),"◆","")</x:f>
        <x:v/>
      </x:c>
      <x:c r="Z85" s="34" t="str">
        <x:f>IF(AND(ISNUMBER($G85),Z$9=$G85),"◆","")</x:f>
        <x:v/>
      </x:c>
      <x:c r="AA85" s="34" t="str">
        <x:f>IF(AND(ISNUMBER($G85),AA$9=$G85),"◆","")</x:f>
        <x:v/>
      </x:c>
      <x:c r="AB85" s="34" t="str">
        <x:f>IF(AND(ISNUMBER($G85),AB$9=$G85),"◆","")</x:f>
        <x:v/>
      </x:c>
      <x:c r="AC85" s="76" t="str">
        <x:f>IF(AND(ISNUMBER($G85),AC$9=$G85),"◆","")</x:f>
        <x:v/>
      </x:c>
      <x:c r="AD85" s="76" t="str">
        <x:f>IF(AND(ISNUMBER($G85),AD$9=$G85),"◆","")</x:f>
        <x:v/>
      </x:c>
      <x:c r="AE85" s="83" t="str">
        <x:f>IF(AND(ISNUMBER($G85),AE$9=$G85),"◆","")</x:f>
        <x:v/>
      </x:c>
      <x:c r="AF85" s="34" t="str">
        <x:f>IF(AND(ISNUMBER($G85),AF$9=$G85),"◆","")</x:f>
        <x:v/>
      </x:c>
      <x:c r="AG85" s="34" t="str">
        <x:f>IF(AND(ISNUMBER($G85),AG$9=$G85),"◆","")</x:f>
        <x:v/>
      </x:c>
      <x:c r="AH85" s="34" t="str">
        <x:f>IF(AND(ISNUMBER($G85),AH$9=$G85),"◆","")</x:f>
        <x:v>◆</x:v>
      </x:c>
      <x:c r="AI85" s="34" t="str">
        <x:f>IF(AND(ISNUMBER($G85),AI$9=$G85),"◆","")</x:f>
        <x:v/>
      </x:c>
      <x:c r="AJ85" s="76" t="str">
        <x:f>IF(AND(ISNUMBER($G85),AJ$9=$G85),"◆","")</x:f>
        <x:v/>
      </x:c>
      <x:c r="AK85" s="76" t="str">
        <x:f>IF(AND(ISNUMBER($G85),AK$9=$G85),"◆","")</x:f>
        <x:v/>
      </x:c>
      <x:c r="AL85" s="83" t="str">
        <x:f>IF(AND(ISNUMBER($G85),AL$9=$G85),"◆","")</x:f>
        <x:v/>
      </x:c>
      <x:c r="AM85" s="4" t="str">
        <x:v>07 보고서·발표</x:v>
      </x:c>
      <x:c r="AN85" s="49"/>
      <x:c r="AO85" s="49"/>
      <x:c r="AP85" s="4" t="str">
        <x:v>11/11 증거, 11/12 자료 취합. 원 Issue 마감 11/13의 리허설은 C13.2로 공동 연결.</x:v>
      </x:c>
      <x:c r="AQ85" s="4" t="str">
        <x:v>#38 OPEN 0/5; #13 OPEN 0/6</x:v>
      </x:c>
      <x:c r="AR85" s="4" t="n">
        <x:f>IF(OR(ISNUMBER(SEARCH(AR$9,$D85)),ISNUMBER(SEARCH(AR$9,$E85))),1*100000000+IF(ISNUMBER($F85),$F85,99999)*1000+ROW(),1000000000)</x:f>
        <x:v>1000000000.0</x:v>
      </x:c>
      <x:c r="AS85" s="4" t="n">
        <x:f>IF(OR(ISNUMBER(SEARCH(AS$9,$D85)),ISNUMBER(SEARCH(AS$9,$E85))),2*100000000+IF(ISNUMBER($F85),$F85,99999)*1000+ROW(),1000000000)</x:f>
        <x:v>1000000000.0</x:v>
      </x:c>
      <x:c r="AT85" s="4" t="n">
        <x:f>IF(OR(ISNUMBER(SEARCH(AT$9,$D85)),ISNUMBER(SEARCH(AT$9,$E85))),3*100000000+IF(ISNUMBER($F85),$F85,99999)*1000+ROW(),1000000000)</x:f>
        <x:v>346337085.0</x:v>
      </x:c>
      <x:c r="AU85" s="4" t="n">
        <x:f>IF(OR(ISNUMBER(SEARCH(AU$9,$D85)),ISNUMBER(SEARCH(AU$9,$E85))),4*100000000+IF(ISNUMBER($F85),$F85,99999)*1000+ROW(),1000000000)</x:f>
        <x:v>1000000000.0</x:v>
      </x:c>
      <x:c r="AV85" s="4" t="n">
        <x:f>IF(OR(ISNUMBER(SEARCH(AV$9,$D85)),ISNUMBER(SEARCH(AV$9,$E85))),5*100000000+IF(ISNUMBER($F85),$F85,99999)*1000+ROW(),1000000000)</x:f>
        <x:v>546337085.0</x:v>
      </x:c>
      <x:c r="AW85" s="4" t="str">
        <x:v>https://github.com/team-blocks-lab/otter-shield/issues/38</x:v>
      </x:c>
      <x:c r="AX85" s="4" t="str">
        <x:v>#38; #13</x:v>
      </x:c>
      <x:c r="AY85" s="106" t="str">
        <x:v>완료 후</x:v>
      </x:c>
    </x:row>
    <x:row r="86" ht="39" customHeight="1">
      <x:c r="A86" s="66" t="str">
        <x:v>C13.1</x:v>
      </x:c>
      <x:c r="B86" s="67" t="str">
        <x:v>공동·관리</x:v>
      </x:c>
      <x:c r="C86" s="31" t="str">
        <x:v>최종 보고·발표자료 취합</x:v>
      </x:c>
      <x:c r="D86" s="31" t="str">
        <x:v>M5 유은혜(PM)</x:v>
      </x:c>
      <x:c r="E86" s="31" t="str">
        <x:v>M3 홍은서</x:v>
      </x:c>
      <x:c r="F86" s="41" t="n">
        <x:v>46337</x:v>
      </x:c>
      <x:c r="G86" s="41" t="n">
        <x:v>46338</x:v>
      </x:c>
      <x:c r="H86" s="42" t="str">
        <x:v>미확인</x:v>
      </x:c>
      <x:c r="I86" s="31" t="str">
        <x:v>I18, I23, I28, I33, I38</x:v>
      </x:c>
      <x:c r="J86" s="65" t="str">
        <x:f>HYPERLINK($AW86,"#13")</x:f>
        <x:v>#13</x:v>
      </x:c>
      <x:c r="K86" s="34" t="str">
        <x:f>IF(AND(ISNUMBER($G86),K$9=$G86),"◆","")</x:f>
        <x:v/>
      </x:c>
      <x:c r="L86" s="74" t="str">
        <x:f>IF(AND(ISNUMBER($G86),L$9=$G86),"◆","")</x:f>
        <x:v/>
      </x:c>
      <x:c r="M86" s="34" t="str">
        <x:f>IF(AND(ISNUMBER($G86),M$9=$G86),"◆","")</x:f>
        <x:v/>
      </x:c>
      <x:c r="N86" s="34" t="str">
        <x:f>IF(AND(ISNUMBER($G86),N$9=$G86),"◆","")</x:f>
        <x:v/>
      </x:c>
      <x:c r="O86" s="76" t="str">
        <x:f>IF(AND(ISNUMBER($G86),O$9=$G86),"◆","")</x:f>
        <x:v/>
      </x:c>
      <x:c r="P86" s="76" t="str">
        <x:f>IF(AND(ISNUMBER($G86),P$9=$G86),"◆","")</x:f>
        <x:v/>
      </x:c>
      <x:c r="Q86" s="83" t="str">
        <x:f>IF(AND(ISNUMBER($G86),Q$9=$G86),"◆","")</x:f>
        <x:v/>
      </x:c>
      <x:c r="R86" s="34" t="str">
        <x:f>IF(AND(ISNUMBER($G86),R$9=$G86),"◆","")</x:f>
        <x:v/>
      </x:c>
      <x:c r="S86" s="34" t="str">
        <x:f>IF(AND(ISNUMBER($G86),S$9=$G86),"◆","")</x:f>
        <x:v/>
      </x:c>
      <x:c r="T86" s="34" t="str">
        <x:f>IF(AND(ISNUMBER($G86),T$9=$G86),"◆","")</x:f>
        <x:v/>
      </x:c>
      <x:c r="U86" s="34" t="str">
        <x:f>IF(AND(ISNUMBER($G86),U$9=$G86),"◆","")</x:f>
        <x:v/>
      </x:c>
      <x:c r="V86" s="76" t="str">
        <x:f>IF(AND(ISNUMBER($G86),V$9=$G86),"◆","")</x:f>
        <x:v/>
      </x:c>
      <x:c r="W86" s="86" t="str">
        <x:f>IF(AND(ISNUMBER($G86),W$9=$G86),"◆","")</x:f>
        <x:v/>
      </x:c>
      <x:c r="X86" s="83" t="str">
        <x:f>IF(AND(ISNUMBER($G86),X$9=$G86),"◆","")</x:f>
        <x:v/>
      </x:c>
      <x:c r="Y86" s="34" t="str">
        <x:f>IF(AND(ISNUMBER($G86),Y$9=$G86),"◆","")</x:f>
        <x:v/>
      </x:c>
      <x:c r="Z86" s="34" t="str">
        <x:f>IF(AND(ISNUMBER($G86),Z$9=$G86),"◆","")</x:f>
        <x:v/>
      </x:c>
      <x:c r="AA86" s="34" t="str">
        <x:f>IF(AND(ISNUMBER($G86),AA$9=$G86),"◆","")</x:f>
        <x:v/>
      </x:c>
      <x:c r="AB86" s="34" t="str">
        <x:f>IF(AND(ISNUMBER($G86),AB$9=$G86),"◆","")</x:f>
        <x:v/>
      </x:c>
      <x:c r="AC86" s="76" t="str">
        <x:f>IF(AND(ISNUMBER($G86),AC$9=$G86),"◆","")</x:f>
        <x:v/>
      </x:c>
      <x:c r="AD86" s="76" t="str">
        <x:f>IF(AND(ISNUMBER($G86),AD$9=$G86),"◆","")</x:f>
        <x:v/>
      </x:c>
      <x:c r="AE86" s="83" t="str">
        <x:f>IF(AND(ISNUMBER($G86),AE$9=$G86),"◆","")</x:f>
        <x:v/>
      </x:c>
      <x:c r="AF86" s="34" t="str">
        <x:f>IF(AND(ISNUMBER($G86),AF$9=$G86),"◆","")</x:f>
        <x:v/>
      </x:c>
      <x:c r="AG86" s="34" t="str">
        <x:f>IF(AND(ISNUMBER($G86),AG$9=$G86),"◆","")</x:f>
        <x:v/>
      </x:c>
      <x:c r="AH86" s="34" t="str">
        <x:f>IF(AND(ISNUMBER($G86),AH$9=$G86),"◆","")</x:f>
        <x:v>◆</x:v>
      </x:c>
      <x:c r="AI86" s="34" t="str">
        <x:f>IF(AND(ISNUMBER($G86),AI$9=$G86),"◆","")</x:f>
        <x:v/>
      </x:c>
      <x:c r="AJ86" s="76" t="str">
        <x:f>IF(AND(ISNUMBER($G86),AJ$9=$G86),"◆","")</x:f>
        <x:v/>
      </x:c>
      <x:c r="AK86" s="76" t="str">
        <x:f>IF(AND(ISNUMBER($G86),AK$9=$G86),"◆","")</x:f>
        <x:v/>
      </x:c>
      <x:c r="AL86" s="83" t="str">
        <x:f>IF(AND(ISNUMBER($G86),AL$9=$G86),"◆","")</x:f>
        <x:v/>
      </x:c>
      <x:c r="AM86" s="4" t="str">
        <x:v>07 보고서·발표</x:v>
      </x:c>
      <x:c r="AN86" s="49"/>
      <x:c r="AO86" s="49"/>
      <x:c r="AP86" s="4" t="str">
        <x:v>PM 취합·PL 기술 검토. 각 망 결과 작성과 취합 업무를 구분.</x:v>
      </x:c>
      <x:c r="AQ86" s="4" t="str">
        <x:v>#13 OPEN 0/6</x:v>
      </x:c>
      <x:c r="AR86" s="4" t="n">
        <x:f>IF(OR(ISNUMBER(SEARCH(AR$9,$D86)),ISNUMBER(SEARCH(AR$9,$E86))),1*100000000+IF(ISNUMBER($F86),$F86,99999)*1000+ROW(),1000000000)</x:f>
        <x:v>1000000000.0</x:v>
      </x:c>
      <x:c r="AS86" s="4" t="n">
        <x:f>IF(OR(ISNUMBER(SEARCH(AS$9,$D86)),ISNUMBER(SEARCH(AS$9,$E86))),2*100000000+IF(ISNUMBER($F86),$F86,99999)*1000+ROW(),1000000000)</x:f>
        <x:v>1000000000.0</x:v>
      </x:c>
      <x:c r="AT86" s="4" t="n">
        <x:f>IF(OR(ISNUMBER(SEARCH(AT$9,$D86)),ISNUMBER(SEARCH(AT$9,$E86))),3*100000000+IF(ISNUMBER($F86),$F86,99999)*1000+ROW(),1000000000)</x:f>
        <x:v>346337086.0</x:v>
      </x:c>
      <x:c r="AU86" s="4" t="n">
        <x:f>IF(OR(ISNUMBER(SEARCH(AU$9,$D86)),ISNUMBER(SEARCH(AU$9,$E86))),4*100000000+IF(ISNUMBER($F86),$F86,99999)*1000+ROW(),1000000000)</x:f>
        <x:v>1000000000.0</x:v>
      </x:c>
      <x:c r="AV86" s="4" t="n">
        <x:f>IF(OR(ISNUMBER(SEARCH(AV$9,$D86)),ISNUMBER(SEARCH(AV$9,$E86))),5*100000000+IF(ISNUMBER($F86),$F86,99999)*1000+ROW(),1000000000)</x:f>
        <x:v>546337086.0</x:v>
      </x:c>
      <x:c r="AW86" s="4" t="str">
        <x:v>https://github.com/team-blocks-lab/otter-shield/issues/13</x:v>
      </x:c>
      <x:c r="AX86" s="4" t="str">
        <x:v>#13</x:v>
      </x:c>
      <x:c r="AY86" s="106" t="str">
        <x:v>각 담당의 검토된 결과부터 순차 취합. 최종본 마감 11/12 전 전원 자료·한계·시연 대조.</x:v>
      </x:c>
    </x:row>
    <x:row r="87" ht="31" customHeight="1">
      <x:c r="A87" s="66" t="str">
        <x:v>C13.2</x:v>
      </x:c>
      <x:c r="B87" s="67" t="str">
        <x:v>공동·관리</x:v>
      </x:c>
      <x:c r="C87" s="31" t="str">
        <x:v>전원 리허설·환경 복구 확인</x:v>
      </x:c>
      <x:c r="D87" s="31" t="str">
        <x:v>M5 유은혜(PM)</x:v>
      </x:c>
      <x:c r="E87" s="31" t="str">
        <x:v>M1 유용수 · M2 윤서영
M3 홍은서 · M4 박진혁</x:v>
      </x:c>
      <x:c r="F87" s="41" t="n">
        <x:v>46339</x:v>
      </x:c>
      <x:c r="G87" s="41" t="n">
        <x:v>46339</x:v>
      </x:c>
      <x:c r="H87" s="42" t="str">
        <x:v>미확인</x:v>
      </x:c>
      <x:c r="I87" s="31" t="str">
        <x:v>C13.1</x:v>
      </x:c>
      <x:c r="J87" s="65" t="str">
        <x:f>HYPERLINK($AW87,"#13 +7")</x:f>
        <x:v>#13 +7</x:v>
      </x:c>
      <x:c r="K87" s="34" t="str">
        <x:f>IF(AND(ISNUMBER($G87),K$9=$G87),"◆","")</x:f>
        <x:v/>
      </x:c>
      <x:c r="L87" s="74" t="str">
        <x:f>IF(AND(ISNUMBER($G87),L$9=$G87),"◆","")</x:f>
        <x:v/>
      </x:c>
      <x:c r="M87" s="34" t="str">
        <x:f>IF(AND(ISNUMBER($G87),M$9=$G87),"◆","")</x:f>
        <x:v/>
      </x:c>
      <x:c r="N87" s="34" t="str">
        <x:f>IF(AND(ISNUMBER($G87),N$9=$G87),"◆","")</x:f>
        <x:v/>
      </x:c>
      <x:c r="O87" s="76" t="str">
        <x:f>IF(AND(ISNUMBER($G87),O$9=$G87),"◆","")</x:f>
        <x:v/>
      </x:c>
      <x:c r="P87" s="76" t="str">
        <x:f>IF(AND(ISNUMBER($G87),P$9=$G87),"◆","")</x:f>
        <x:v/>
      </x:c>
      <x:c r="Q87" s="83" t="str">
        <x:f>IF(AND(ISNUMBER($G87),Q$9=$G87),"◆","")</x:f>
        <x:v/>
      </x:c>
      <x:c r="R87" s="34" t="str">
        <x:f>IF(AND(ISNUMBER($G87),R$9=$G87),"◆","")</x:f>
        <x:v/>
      </x:c>
      <x:c r="S87" s="34" t="str">
        <x:f>IF(AND(ISNUMBER($G87),S$9=$G87),"◆","")</x:f>
        <x:v/>
      </x:c>
      <x:c r="T87" s="34" t="str">
        <x:f>IF(AND(ISNUMBER($G87),T$9=$G87),"◆","")</x:f>
        <x:v/>
      </x:c>
      <x:c r="U87" s="34" t="str">
        <x:f>IF(AND(ISNUMBER($G87),U$9=$G87),"◆","")</x:f>
        <x:v/>
      </x:c>
      <x:c r="V87" s="76" t="str">
        <x:f>IF(AND(ISNUMBER($G87),V$9=$G87),"◆","")</x:f>
        <x:v/>
      </x:c>
      <x:c r="W87" s="86" t="str">
        <x:f>IF(AND(ISNUMBER($G87),W$9=$G87),"◆","")</x:f>
        <x:v/>
      </x:c>
      <x:c r="X87" s="83" t="str">
        <x:f>IF(AND(ISNUMBER($G87),X$9=$G87),"◆","")</x:f>
        <x:v/>
      </x:c>
      <x:c r="Y87" s="34" t="str">
        <x:f>IF(AND(ISNUMBER($G87),Y$9=$G87),"◆","")</x:f>
        <x:v/>
      </x:c>
      <x:c r="Z87" s="34" t="str">
        <x:f>IF(AND(ISNUMBER($G87),Z$9=$G87),"◆","")</x:f>
        <x:v/>
      </x:c>
      <x:c r="AA87" s="34" t="str">
        <x:f>IF(AND(ISNUMBER($G87),AA$9=$G87),"◆","")</x:f>
        <x:v/>
      </x:c>
      <x:c r="AB87" s="34" t="str">
        <x:f>IF(AND(ISNUMBER($G87),AB$9=$G87),"◆","")</x:f>
        <x:v/>
      </x:c>
      <x:c r="AC87" s="76" t="str">
        <x:f>IF(AND(ISNUMBER($G87),AC$9=$G87),"◆","")</x:f>
        <x:v/>
      </x:c>
      <x:c r="AD87" s="76" t="str">
        <x:f>IF(AND(ISNUMBER($G87),AD$9=$G87),"◆","")</x:f>
        <x:v/>
      </x:c>
      <x:c r="AE87" s="83" t="str">
        <x:f>IF(AND(ISNUMBER($G87),AE$9=$G87),"◆","")</x:f>
        <x:v/>
      </x:c>
      <x:c r="AF87" s="34" t="str">
        <x:f>IF(AND(ISNUMBER($G87),AF$9=$G87),"◆","")</x:f>
        <x:v/>
      </x:c>
      <x:c r="AG87" s="34" t="str">
        <x:f>IF(AND(ISNUMBER($G87),AG$9=$G87),"◆","")</x:f>
        <x:v/>
      </x:c>
      <x:c r="AH87" s="34" t="str">
        <x:f>IF(AND(ISNUMBER($G87),AH$9=$G87),"◆","")</x:f>
        <x:v/>
      </x:c>
      <x:c r="AI87" s="34" t="str">
        <x:f>IF(AND(ISNUMBER($G87),AI$9=$G87),"◆","")</x:f>
        <x:v>◆</x:v>
      </x:c>
      <x:c r="AJ87" s="76" t="str">
        <x:f>IF(AND(ISNUMBER($G87),AJ$9=$G87),"◆","")</x:f>
        <x:v/>
      </x:c>
      <x:c r="AK87" s="76" t="str">
        <x:f>IF(AND(ISNUMBER($G87),AK$9=$G87),"◆","")</x:f>
        <x:v/>
      </x:c>
      <x:c r="AL87" s="83" t="str">
        <x:f>IF(AND(ISNUMBER($G87),AL$9=$G87),"◆","")</x:f>
        <x:v/>
      </x:c>
      <x:c r="AM87" s="4" t="str">
        <x:v>07 보고서·발표</x:v>
      </x:c>
      <x:c r="AN87" s="49"/>
      <x:c r="AO87" s="49"/>
      <x:c r="AP87" s="4" t="str">
        <x:v>전원 발표·시연, M4/M5 AWS 재생성·실제 준비 소요 확인.</x:v>
      </x:c>
      <x:c r="AQ87" s="4" t="str">
        <x:v>#13 OPEN 0/6; #18 OPEN 0/5; #23 OPEN 0/5; #28 OPEN 0/5; #33 OPEN 0/5; #38 OPEN 0/5; #12 OPEN 0/19; #10 OPEN 0/9</x:v>
      </x:c>
      <x:c r="AR87" s="4" t="n">
        <x:f>IF(OR(ISNUMBER(SEARCH(AR$9,$D87)),ISNUMBER(SEARCH(AR$9,$E87))),1*100000000+IF(ISNUMBER($F87),$F87,99999)*1000+ROW(),1000000000)</x:f>
        <x:v>146339087.0</x:v>
      </x:c>
      <x:c r="AS87" s="4" t="n">
        <x:f>IF(OR(ISNUMBER(SEARCH(AS$9,$D87)),ISNUMBER(SEARCH(AS$9,$E87))),2*100000000+IF(ISNUMBER($F87),$F87,99999)*1000+ROW(),1000000000)</x:f>
        <x:v>246339087.0</x:v>
      </x:c>
      <x:c r="AT87" s="4" t="n">
        <x:f>IF(OR(ISNUMBER(SEARCH(AT$9,$D87)),ISNUMBER(SEARCH(AT$9,$E87))),3*100000000+IF(ISNUMBER($F87),$F87,99999)*1000+ROW(),1000000000)</x:f>
        <x:v>346339087.0</x:v>
      </x:c>
      <x:c r="AU87" s="4" t="n">
        <x:f>IF(OR(ISNUMBER(SEARCH(AU$9,$D87)),ISNUMBER(SEARCH(AU$9,$E87))),4*100000000+IF(ISNUMBER($F87),$F87,99999)*1000+ROW(),1000000000)</x:f>
        <x:v>446339087.0</x:v>
      </x:c>
      <x:c r="AV87" s="4" t="n">
        <x:f>IF(OR(ISNUMBER(SEARCH(AV$9,$D87)),ISNUMBER(SEARCH(AV$9,$E87))),5*100000000+IF(ISNUMBER($F87),$F87,99999)*1000+ROW(),1000000000)</x:f>
        <x:v>546339087.0</x:v>
      </x:c>
      <x:c r="AW87" s="4" t="str">
        <x:v>https://github.com/team-blocks-lab/otter-shield/issues/13</x:v>
      </x:c>
      <x:c r="AX87" s="4" t="str">
        <x:v>#13; #18; #23; #28; #33; #38; #12; #10</x:v>
      </x:c>
      <x:c r="AY87" s="106" t="str">
        <x:v>전원 설명·시연 / AWS 재생성 절차·소요 확인</x:v>
      </x:c>
    </x:row>
    <x:row r="88" ht="31" customHeight="1">
      <x:c r="A88" s="66" t="str">
        <x:v>C13.3</x:v>
      </x:c>
      <x:c r="B88" s="67" t="str">
        <x:v>공동·관리</x:v>
      </x:c>
      <x:c r="C88" s="31" t="str">
        <x:v>파일·링크·대체 시연 점검</x:v>
      </x:c>
      <x:c r="D88" s="31" t="str">
        <x:v>M5 유은혜(PM)</x:v>
      </x:c>
      <x:c r="E88" s="31" t="str">
        <x:v>M3 홍은서</x:v>
      </x:c>
      <x:c r="F88" s="41" t="n">
        <x:v>46340</x:v>
      </x:c>
      <x:c r="G88" s="41" t="n">
        <x:v>46340</x:v>
      </x:c>
      <x:c r="H88" s="42" t="str">
        <x:v>미확인</x:v>
      </x:c>
      <x:c r="I88" s="31" t="str">
        <x:v>C13.2</x:v>
      </x:c>
      <x:c r="J88" s="65" t="str">
        <x:f>HYPERLINK($AW88,"#13")</x:f>
        <x:v>#13</x:v>
      </x:c>
      <x:c r="K88" s="34" t="str">
        <x:f>IF(AND(ISNUMBER($G88),K$9=$G88),"◆","")</x:f>
        <x:v/>
      </x:c>
      <x:c r="L88" s="74" t="str">
        <x:f>IF(AND(ISNUMBER($G88),L$9=$G88),"◆","")</x:f>
        <x:v/>
      </x:c>
      <x:c r="M88" s="34" t="str">
        <x:f>IF(AND(ISNUMBER($G88),M$9=$G88),"◆","")</x:f>
        <x:v/>
      </x:c>
      <x:c r="N88" s="34" t="str">
        <x:f>IF(AND(ISNUMBER($G88),N$9=$G88),"◆","")</x:f>
        <x:v/>
      </x:c>
      <x:c r="O88" s="76" t="str">
        <x:f>IF(AND(ISNUMBER($G88),O$9=$G88),"◆","")</x:f>
        <x:v/>
      </x:c>
      <x:c r="P88" s="76" t="str">
        <x:f>IF(AND(ISNUMBER($G88),P$9=$G88),"◆","")</x:f>
        <x:v/>
      </x:c>
      <x:c r="Q88" s="83" t="str">
        <x:f>IF(AND(ISNUMBER($G88),Q$9=$G88),"◆","")</x:f>
        <x:v/>
      </x:c>
      <x:c r="R88" s="34" t="str">
        <x:f>IF(AND(ISNUMBER($G88),R$9=$G88),"◆","")</x:f>
        <x:v/>
      </x:c>
      <x:c r="S88" s="34" t="str">
        <x:f>IF(AND(ISNUMBER($G88),S$9=$G88),"◆","")</x:f>
        <x:v/>
      </x:c>
      <x:c r="T88" s="34" t="str">
        <x:f>IF(AND(ISNUMBER($G88),T$9=$G88),"◆","")</x:f>
        <x:v/>
      </x:c>
      <x:c r="U88" s="34" t="str">
        <x:f>IF(AND(ISNUMBER($G88),U$9=$G88),"◆","")</x:f>
        <x:v/>
      </x:c>
      <x:c r="V88" s="76" t="str">
        <x:f>IF(AND(ISNUMBER($G88),V$9=$G88),"◆","")</x:f>
        <x:v/>
      </x:c>
      <x:c r="W88" s="86" t="str">
        <x:f>IF(AND(ISNUMBER($G88),W$9=$G88),"◆","")</x:f>
        <x:v/>
      </x:c>
      <x:c r="X88" s="83" t="str">
        <x:f>IF(AND(ISNUMBER($G88),X$9=$G88),"◆","")</x:f>
        <x:v/>
      </x:c>
      <x:c r="Y88" s="34" t="str">
        <x:f>IF(AND(ISNUMBER($G88),Y$9=$G88),"◆","")</x:f>
        <x:v/>
      </x:c>
      <x:c r="Z88" s="34" t="str">
        <x:f>IF(AND(ISNUMBER($G88),Z$9=$G88),"◆","")</x:f>
        <x:v/>
      </x:c>
      <x:c r="AA88" s="34" t="str">
        <x:f>IF(AND(ISNUMBER($G88),AA$9=$G88),"◆","")</x:f>
        <x:v/>
      </x:c>
      <x:c r="AB88" s="34" t="str">
        <x:f>IF(AND(ISNUMBER($G88),AB$9=$G88),"◆","")</x:f>
        <x:v/>
      </x:c>
      <x:c r="AC88" s="76" t="str">
        <x:f>IF(AND(ISNUMBER($G88),AC$9=$G88),"◆","")</x:f>
        <x:v/>
      </x:c>
      <x:c r="AD88" s="76" t="str">
        <x:f>IF(AND(ISNUMBER($G88),AD$9=$G88),"◆","")</x:f>
        <x:v/>
      </x:c>
      <x:c r="AE88" s="83" t="str">
        <x:f>IF(AND(ISNUMBER($G88),AE$9=$G88),"◆","")</x:f>
        <x:v/>
      </x:c>
      <x:c r="AF88" s="34" t="str">
        <x:f>IF(AND(ISNUMBER($G88),AF$9=$G88),"◆","")</x:f>
        <x:v/>
      </x:c>
      <x:c r="AG88" s="34" t="str">
        <x:f>IF(AND(ISNUMBER($G88),AG$9=$G88),"◆","")</x:f>
        <x:v/>
      </x:c>
      <x:c r="AH88" s="34" t="str">
        <x:f>IF(AND(ISNUMBER($G88),AH$9=$G88),"◆","")</x:f>
        <x:v/>
      </x:c>
      <x:c r="AI88" s="34" t="str">
        <x:f>IF(AND(ISNUMBER($G88),AI$9=$G88),"◆","")</x:f>
        <x:v/>
      </x:c>
      <x:c r="AJ88" s="76" t="str">
        <x:f>IF(AND(ISNUMBER($G88),AJ$9=$G88),"◆","")</x:f>
        <x:v>◆</x:v>
      </x:c>
      <x:c r="AK88" s="76" t="str">
        <x:f>IF(AND(ISNUMBER($G88),AK$9=$G88),"◆","")</x:f>
        <x:v/>
      </x:c>
      <x:c r="AL88" s="83" t="str">
        <x:f>IF(AND(ISNUMBER($G88),AL$9=$G88),"◆","")</x:f>
        <x:v/>
      </x:c>
      <x:c r="AM88" s="4" t="str">
        <x:v>07 보고서·발표</x:v>
      </x:c>
      <x:c r="AN88" s="49"/>
      <x:c r="AO88" s="49"/>
      <x:c r="AP88" s="4" t="str">
        <x:v>Issue #13 완료 기준에 명시된 토요일 일정 유지.</x:v>
      </x:c>
      <x:c r="AQ88" s="4" t="str">
        <x:v>#13 OPEN 0/6</x:v>
      </x:c>
      <x:c r="AR88" s="4" t="n">
        <x:f>IF(OR(ISNUMBER(SEARCH(AR$9,$D88)),ISNUMBER(SEARCH(AR$9,$E88))),1*100000000+IF(ISNUMBER($F88),$F88,99999)*1000+ROW(),1000000000)</x:f>
        <x:v>1000000000.0</x:v>
      </x:c>
      <x:c r="AS88" s="4" t="n">
        <x:f>IF(OR(ISNUMBER(SEARCH(AS$9,$D88)),ISNUMBER(SEARCH(AS$9,$E88))),2*100000000+IF(ISNUMBER($F88),$F88,99999)*1000+ROW(),1000000000)</x:f>
        <x:v>1000000000.0</x:v>
      </x:c>
      <x:c r="AT88" s="4" t="n">
        <x:f>IF(OR(ISNUMBER(SEARCH(AT$9,$D88)),ISNUMBER(SEARCH(AT$9,$E88))),3*100000000+IF(ISNUMBER($F88),$F88,99999)*1000+ROW(),1000000000)</x:f>
        <x:v>346340088.0</x:v>
      </x:c>
      <x:c r="AU88" s="4" t="n">
        <x:f>IF(OR(ISNUMBER(SEARCH(AU$9,$D88)),ISNUMBER(SEARCH(AU$9,$E88))),4*100000000+IF(ISNUMBER($F88),$F88,99999)*1000+ROW(),1000000000)</x:f>
        <x:v>1000000000.0</x:v>
      </x:c>
      <x:c r="AV88" s="4" t="n">
        <x:f>IF(OR(ISNUMBER(SEARCH(AV$9,$D88)),ISNUMBER(SEARCH(AV$9,$E88))),5*100000000+IF(ISNUMBER($F88),$F88,99999)*1000+ROW(),1000000000)</x:f>
        <x:v>546340088.0</x:v>
      </x:c>
      <x:c r="AW88" s="4" t="str">
        <x:v>https://github.com/team-blocks-lab/otter-shield/issues/13</x:v>
      </x:c>
      <x:c r="AX88" s="4" t="str">
        <x:v>#13</x:v>
      </x:c>
      <x:c r="AY88" s="106" t="str">
        <x:v>파일·링크·대체 시연 최종 확인</x:v>
      </x:c>
    </x:row>
    <x:row r="89" ht="31" customHeight="1">
      <x:c r="A89" s="66" t="str">
        <x:v>C13.4</x:v>
      </x:c>
      <x:c r="B89" s="67" t="str">
        <x:v>공동·관리</x:v>
      </x:c>
      <x:c r="C89" s="31" t="str">
        <x:v>최종 발표·실습 자원 정리</x:v>
      </x:c>
      <x:c r="D89" s="31" t="str">
        <x:v>M5 유은혜(PM)</x:v>
      </x:c>
      <x:c r="E89" s="31" t="str">
        <x:v>M1 유용수 · M2 윤서영
M3 홍은서 · M4 박진혁</x:v>
      </x:c>
      <x:c r="F89" s="41" t="n">
        <x:v>46342</x:v>
      </x:c>
      <x:c r="G89" s="41" t="n">
        <x:v>46342</x:v>
      </x:c>
      <x:c r="H89" s="42" t="str">
        <x:v>미확인</x:v>
      </x:c>
      <x:c r="I89" s="31" t="str">
        <x:v>C13.3</x:v>
      </x:c>
      <x:c r="J89" s="65" t="str">
        <x:f>HYPERLINK($AW89,"#13 +2")</x:f>
        <x:v>#13 +2</x:v>
      </x:c>
      <x:c r="K89" s="34" t="str">
        <x:f>IF(AND(ISNUMBER($G89),K$9=$G89),"◆","")</x:f>
        <x:v/>
      </x:c>
      <x:c r="L89" s="74" t="str">
        <x:f>IF(AND(ISNUMBER($G89),L$9=$G89),"◆","")</x:f>
        <x:v/>
      </x:c>
      <x:c r="M89" s="34" t="str">
        <x:f>IF(AND(ISNUMBER($G89),M$9=$G89),"◆","")</x:f>
        <x:v/>
      </x:c>
      <x:c r="N89" s="34" t="str">
        <x:f>IF(AND(ISNUMBER($G89),N$9=$G89),"◆","")</x:f>
        <x:v/>
      </x:c>
      <x:c r="O89" s="76" t="str">
        <x:f>IF(AND(ISNUMBER($G89),O$9=$G89),"◆","")</x:f>
        <x:v/>
      </x:c>
      <x:c r="P89" s="76" t="str">
        <x:f>IF(AND(ISNUMBER($G89),P$9=$G89),"◆","")</x:f>
        <x:v/>
      </x:c>
      <x:c r="Q89" s="83" t="str">
        <x:f>IF(AND(ISNUMBER($G89),Q$9=$G89),"◆","")</x:f>
        <x:v/>
      </x:c>
      <x:c r="R89" s="34" t="str">
        <x:f>IF(AND(ISNUMBER($G89),R$9=$G89),"◆","")</x:f>
        <x:v/>
      </x:c>
      <x:c r="S89" s="34" t="str">
        <x:f>IF(AND(ISNUMBER($G89),S$9=$G89),"◆","")</x:f>
        <x:v/>
      </x:c>
      <x:c r="T89" s="34" t="str">
        <x:f>IF(AND(ISNUMBER($G89),T$9=$G89),"◆","")</x:f>
        <x:v/>
      </x:c>
      <x:c r="U89" s="34" t="str">
        <x:f>IF(AND(ISNUMBER($G89),U$9=$G89),"◆","")</x:f>
        <x:v/>
      </x:c>
      <x:c r="V89" s="76" t="str">
        <x:f>IF(AND(ISNUMBER($G89),V$9=$G89),"◆","")</x:f>
        <x:v/>
      </x:c>
      <x:c r="W89" s="86" t="str">
        <x:f>IF(AND(ISNUMBER($G89),W$9=$G89),"◆","")</x:f>
        <x:v/>
      </x:c>
      <x:c r="X89" s="83" t="str">
        <x:f>IF(AND(ISNUMBER($G89),X$9=$G89),"◆","")</x:f>
        <x:v/>
      </x:c>
      <x:c r="Y89" s="34" t="str">
        <x:f>IF(AND(ISNUMBER($G89),Y$9=$G89),"◆","")</x:f>
        <x:v/>
      </x:c>
      <x:c r="Z89" s="34" t="str">
        <x:f>IF(AND(ISNUMBER($G89),Z$9=$G89),"◆","")</x:f>
        <x:v/>
      </x:c>
      <x:c r="AA89" s="34" t="str">
        <x:f>IF(AND(ISNUMBER($G89),AA$9=$G89),"◆","")</x:f>
        <x:v/>
      </x:c>
      <x:c r="AB89" s="34" t="str">
        <x:f>IF(AND(ISNUMBER($G89),AB$9=$G89),"◆","")</x:f>
        <x:v/>
      </x:c>
      <x:c r="AC89" s="76" t="str">
        <x:f>IF(AND(ISNUMBER($G89),AC$9=$G89),"◆","")</x:f>
        <x:v/>
      </x:c>
      <x:c r="AD89" s="76" t="str">
        <x:f>IF(AND(ISNUMBER($G89),AD$9=$G89),"◆","")</x:f>
        <x:v/>
      </x:c>
      <x:c r="AE89" s="83" t="str">
        <x:f>IF(AND(ISNUMBER($G89),AE$9=$G89),"◆","")</x:f>
        <x:v/>
      </x:c>
      <x:c r="AF89" s="34" t="str">
        <x:f>IF(AND(ISNUMBER($G89),AF$9=$G89),"◆","")</x:f>
        <x:v/>
      </x:c>
      <x:c r="AG89" s="34" t="str">
        <x:f>IF(AND(ISNUMBER($G89),AG$9=$G89),"◆","")</x:f>
        <x:v/>
      </x:c>
      <x:c r="AH89" s="34" t="str">
        <x:f>IF(AND(ISNUMBER($G89),AH$9=$G89),"◆","")</x:f>
        <x:v/>
      </x:c>
      <x:c r="AI89" s="34" t="str">
        <x:f>IF(AND(ISNUMBER($G89),AI$9=$G89),"◆","")</x:f>
        <x:v/>
      </x:c>
      <x:c r="AJ89" s="76" t="str">
        <x:f>IF(AND(ISNUMBER($G89),AJ$9=$G89),"◆","")</x:f>
        <x:v/>
      </x:c>
      <x:c r="AK89" s="76" t="str">
        <x:f>IF(AND(ISNUMBER($G89),AK$9=$G89),"◆","")</x:f>
        <x:v/>
      </x:c>
      <x:c r="AL89" s="83" t="str">
        <x:f>IF(AND(ISNUMBER($G89),AL$9=$G89),"◆","")</x:f>
        <x:v>◆</x:v>
      </x:c>
      <x:c r="AM89" s="4" t="str">
        <x:v>07 보고서·발표</x:v>
      </x:c>
      <x:c r="AN89" s="49"/>
      <x:c r="AO89" s="49"/>
      <x:c r="AP89" s="4" t="str">
        <x:v>발표 전 정상 요청·환경 복구, 종료 후 승인 보존 사본 외 임시 계정·유료 자원 정리.</x:v>
      </x:c>
      <x:c r="AQ89" s="4" t="str">
        <x:v>#13 OPEN 0/6; #12 OPEN 0/19; #10 OPEN 0/9</x:v>
      </x:c>
      <x:c r="AR89" s="4" t="n">
        <x:f>IF(OR(ISNUMBER(SEARCH(AR$9,$D89)),ISNUMBER(SEARCH(AR$9,$E89))),1*100000000+IF(ISNUMBER($F89),$F89,99999)*1000+ROW(),1000000000)</x:f>
        <x:v>146342089.0</x:v>
      </x:c>
      <x:c r="AS89" s="4" t="n">
        <x:f>IF(OR(ISNUMBER(SEARCH(AS$9,$D89)),ISNUMBER(SEARCH(AS$9,$E89))),2*100000000+IF(ISNUMBER($F89),$F89,99999)*1000+ROW(),1000000000)</x:f>
        <x:v>246342089.0</x:v>
      </x:c>
      <x:c r="AT89" s="4" t="n">
        <x:f>IF(OR(ISNUMBER(SEARCH(AT$9,$D89)),ISNUMBER(SEARCH(AT$9,$E89))),3*100000000+IF(ISNUMBER($F89),$F89,99999)*1000+ROW(),1000000000)</x:f>
        <x:v>346342089.0</x:v>
      </x:c>
      <x:c r="AU89" s="4" t="n">
        <x:f>IF(OR(ISNUMBER(SEARCH(AU$9,$D89)),ISNUMBER(SEARCH(AU$9,$E89))),4*100000000+IF(ISNUMBER($F89),$F89,99999)*1000+ROW(),1000000000)</x:f>
        <x:v>446342089.0</x:v>
      </x:c>
      <x:c r="AV89" s="4" t="n">
        <x:f>IF(OR(ISNUMBER(SEARCH(AV$9,$D89)),ISNUMBER(SEARCH(AV$9,$E89))),5*100000000+IF(ISNUMBER($F89),$F89,99999)*1000+ROW(),1000000000)</x:f>
        <x:v>546342089.0</x:v>
      </x:c>
      <x:c r="AW89" s="4" t="str">
        <x:v>https://github.com/team-blocks-lab/otter-shield/issues/13</x:v>
      </x:c>
      <x:c r="AX89" s="4" t="str">
        <x:v>#13; #12; #10</x:v>
      </x:c>
      <x:c r="AY89" s="106" t="str">
        <x:v>발표 전 정상 요청 / 종료 후 계정·유료 자원 정리</x:v>
      </x:c>
    </x:row>
    <x:row r="90" ht="31" customHeight="1">
      <x:c r="A90" s="69" t="str">
        <x:v>MX1</x:v>
      </x:c>
      <x:c r="B90" s="70" t="str">
        <x:v>공동·관리</x:v>
      </x:c>
      <x:c r="C90" s="32" t="str">
        <x:v>M1 후속 실장비 네트워크 설계</x:v>
      </x:c>
      <x:c r="D90" s="32" t="str">
        <x:v>M2 윤서영</x:v>
      </x:c>
      <x:c r="E90" s="32" t="str">
        <x:v>M4 박진혁</x:v>
      </x:c>
      <x:c r="F90" s="43" t="str">
        <x:v>확인 필요</x:v>
      </x:c>
      <x:c r="G90" s="43" t="str">
        <x:v>확인 필요</x:v>
      </x:c>
      <x:c r="H90" s="44" t="str">
        <x:v>미확인</x:v>
      </x:c>
      <x:c r="I90" s="32" t="str">
        <x:v>—</x:v>
      </x:c>
      <x:c r="J90" s="68" t="str">
        <x:f>HYPERLINK($AW90,"회의록")</x:f>
        <x:v>회의록</x:v>
      </x:c>
      <x:c r="K90" s="35" t="str">
        <x:f>""</x:f>
        <x:v/>
      </x:c>
      <x:c r="L90" s="75" t="str">
        <x:f>""</x:f>
        <x:v/>
      </x:c>
      <x:c r="M90" s="35" t="str">
        <x:f>""</x:f>
        <x:v/>
      </x:c>
      <x:c r="N90" s="35" t="str">
        <x:f>""</x:f>
        <x:v/>
      </x:c>
      <x:c r="O90" s="77" t="str">
        <x:f>""</x:f>
        <x:v/>
      </x:c>
      <x:c r="P90" s="77" t="str">
        <x:f>""</x:f>
        <x:v/>
      </x:c>
      <x:c r="Q90" s="84" t="str">
        <x:f>""</x:f>
        <x:v/>
      </x:c>
      <x:c r="R90" s="35" t="str">
        <x:f>""</x:f>
        <x:v/>
      </x:c>
      <x:c r="S90" s="35" t="str">
        <x:f>""</x:f>
        <x:v/>
      </x:c>
      <x:c r="T90" s="35" t="str">
        <x:f>""</x:f>
        <x:v/>
      </x:c>
      <x:c r="U90" s="35" t="str">
        <x:f>""</x:f>
        <x:v/>
      </x:c>
      <x:c r="V90" s="77" t="str">
        <x:f>""</x:f>
        <x:v/>
      </x:c>
      <x:c r="W90" s="87" t="str">
        <x:f>""</x:f>
        <x:v/>
      </x:c>
      <x:c r="X90" s="84" t="str">
        <x:f>""</x:f>
        <x:v/>
      </x:c>
      <x:c r="Y90" s="35" t="str">
        <x:f>""</x:f>
        <x:v/>
      </x:c>
      <x:c r="Z90" s="35" t="str">
        <x:f>""</x:f>
        <x:v/>
      </x:c>
      <x:c r="AA90" s="35" t="str">
        <x:f>""</x:f>
        <x:v/>
      </x:c>
      <x:c r="AB90" s="35" t="str">
        <x:f>""</x:f>
        <x:v/>
      </x:c>
      <x:c r="AC90" s="77" t="str">
        <x:f>""</x:f>
        <x:v/>
      </x:c>
      <x:c r="AD90" s="77" t="str">
        <x:f>""</x:f>
        <x:v/>
      </x:c>
      <x:c r="AE90" s="84" t="str">
        <x:f>""</x:f>
        <x:v/>
      </x:c>
      <x:c r="AF90" s="35" t="str">
        <x:f>""</x:f>
        <x:v/>
      </x:c>
      <x:c r="AG90" s="35" t="str">
        <x:f>""</x:f>
        <x:v/>
      </x:c>
      <x:c r="AH90" s="35" t="str">
        <x:f>""</x:f>
        <x:v/>
      </x:c>
      <x:c r="AI90" s="35" t="str">
        <x:f>""</x:f>
        <x:v/>
      </x:c>
      <x:c r="AJ90" s="77" t="str">
        <x:f>""</x:f>
        <x:v/>
      </x:c>
      <x:c r="AK90" s="77" t="str">
        <x:f>""</x:f>
        <x:v/>
      </x:c>
      <x:c r="AL90" s="84" t="str">
        <x:f>""</x:f>
        <x:v/>
      </x:c>
      <x:c r="AM90" s="4" t="str">
        <x:v>07 보고서·발표</x:v>
      </x:c>
      <x:c r="AN90" s="49"/>
      <x:c r="AO90" s="49"/>
      <x:c r="AP90" s="4" t="str">
        <x:v>10/20 회의 §2. 담당만 확정, 시기·범위·Issue 확인 필요. 현재 가상 M1 축소가 아님.</x:v>
      </x:c>
      <x:c r="AQ90" s="4" t="str">
        <x:v>10/20 회의 담당만 확인</x:v>
      </x:c>
      <x:c r="AR90" s="4" t="n">
        <x:f>IF(OR(ISNUMBER(SEARCH(AR$9,$D90)),ISNUMBER(SEARCH(AR$9,$E90))),1*100000000+IF(ISNUMBER($F90),$F90,99999)*1000+ROW(),1000000000)</x:f>
        <x:v>1000000000.0</x:v>
      </x:c>
      <x:c r="AS90" s="4" t="n">
        <x:f>IF(OR(ISNUMBER(SEARCH(AS$9,$D90)),ISNUMBER(SEARCH(AS$9,$E90))),2*100000000+IF(ISNUMBER($F90),$F90,99999)*1000+ROW(),1000000000)</x:f>
        <x:v>299999090.0</x:v>
      </x:c>
      <x:c r="AT90" s="4" t="n">
        <x:f>IF(OR(ISNUMBER(SEARCH(AT$9,$D90)),ISNUMBER(SEARCH(AT$9,$E90))),3*100000000+IF(ISNUMBER($F90),$F90,99999)*1000+ROW(),1000000000)</x:f>
        <x:v>1000000000.0</x:v>
      </x:c>
      <x:c r="AU90" s="4" t="n">
        <x:f>IF(OR(ISNUMBER(SEARCH(AU$9,$D90)),ISNUMBER(SEARCH(AU$9,$E90))),4*100000000+IF(ISNUMBER($F90),$F90,99999)*1000+ROW(),1000000000)</x:f>
        <x:v>499999090.0</x:v>
      </x:c>
      <x:c r="AV90" s="4" t="n">
        <x:f>IF(OR(ISNUMBER(SEARCH(AV$9,$D90)),ISNUMBER(SEARCH(AV$9,$E90))),5*100000000+IF(ISNUMBER($F90),$F90,99999)*1000+ROW(),1000000000)</x:f>
        <x:v>1000000000.0</x:v>
      </x:c>
      <x:c r="AW90" s="4" t="str">
        <x:v>https://github.com/team-blocks-lab/otter-shield/blob/ba1ac38bef5b644eb9cd95c2d00afe37c8a059a3/meetings/2026-10-20-design-decisions.md#2-망별-담당과-변경-범위</x:v>
      </x:c>
      <x:c r="AX90" s="4" t="str">
        <x:v>10/20 회의 §2</x:v>
      </x:c>
      <x:c r="AY90" s="106" t="str">
        <x:v>완료 후</x:v>
      </x:c>
    </x:row>
  </x:sheetData>
  <x:autoFilter ref="A9:J90"/>
  <x:mergeCells>
    <x:mergeCell ref="A2:J2"/>
    <x:mergeCell ref="K2:AL2"/>
    <x:mergeCell ref="A3:B3"/>
    <x:mergeCell ref="D3:J3"/>
    <x:mergeCell ref="K3:AL3"/>
    <x:mergeCell ref="A4:J4"/>
    <x:mergeCell ref="K4:N4"/>
    <x:mergeCell ref="O4:R4"/>
    <x:mergeCell ref="S4:W4"/>
    <x:mergeCell ref="X4:AL4"/>
    <x:mergeCell ref="A5:J5"/>
    <x:mergeCell ref="K5:AL5"/>
    <x:mergeCell ref="A6:J6"/>
    <x:mergeCell ref="K6:AL6"/>
    <x:mergeCell ref="A7:J8"/>
    <x:mergeCell ref="K7:V7"/>
    <x:mergeCell ref="W7:AL7"/>
    <x:mergeCell ref="K8:P8"/>
    <x:mergeCell ref="Q8:W8"/>
    <x:mergeCell ref="X8:AD8"/>
    <x:mergeCell ref="AE8:AK8"/>
  </x:mergeCells>
  <x:conditionalFormatting sqref="K11:AL11">
    <x:cfRule type="expression" dxfId="0" priority="1">
      <x:formula>AND(ISNUMBER($F11),ISNUMBER($G11),IF($AN11="",AND(K$9&gt;=$F11,K$9&lt;=$G11),OR(AND(K$9&gt;=$F11,K$9&lt;=$AN11),AND(K$9&gt;=$AO11,K$9&lt;=$G11))))</x:formula>
    </x:cfRule>
  </x:conditionalFormatting>
  <x:conditionalFormatting sqref="H11:H11">
    <x:cfRule type="expression" dxfId="1" priority="2">
      <x:formula>$H11="완료"</x:formula>
    </x:cfRule>
    <x:cfRule type="expression" dxfId="2" priority="3">
      <x:formula>$H11="진행 중"</x:formula>
    </x:cfRule>
    <x:cfRule type="expression" dxfId="3" priority="4">
      <x:formula>$H11="막힘"</x:formula>
    </x:cfRule>
  </x:conditionalFormatting>
  <x:conditionalFormatting sqref="K12:AL12">
    <x:cfRule type="expression" dxfId="4" priority="5">
      <x:formula>AND(ISNUMBER($F12),ISNUMBER($G12),IF($AN12="",AND(K$9&gt;=$F12,K$9&lt;=$G12),OR(AND(K$9&gt;=$F12,K$9&lt;=$AN12),AND(K$9&gt;=$AO12,K$9&lt;=$G12))))</x:formula>
    </x:cfRule>
  </x:conditionalFormatting>
  <x:conditionalFormatting sqref="H12:H12">
    <x:cfRule type="expression" dxfId="5" priority="6">
      <x:formula>$H12="완료"</x:formula>
    </x:cfRule>
    <x:cfRule type="expression" dxfId="6" priority="7">
      <x:formula>$H12="진행 중"</x:formula>
    </x:cfRule>
    <x:cfRule type="expression" dxfId="7" priority="8">
      <x:formula>$H12="막힘"</x:formula>
    </x:cfRule>
  </x:conditionalFormatting>
  <x:conditionalFormatting sqref="K13:AL13">
    <x:cfRule type="expression" dxfId="8" priority="9">
      <x:formula>AND(ISNUMBER($F13),ISNUMBER($G13),IF($AN13="",AND(K$9&gt;=$F13,K$9&lt;=$G13),OR(AND(K$9&gt;=$F13,K$9&lt;=$AN13),AND(K$9&gt;=$AO13,K$9&lt;=$G13))))</x:formula>
    </x:cfRule>
  </x:conditionalFormatting>
  <x:conditionalFormatting sqref="H13:H13">
    <x:cfRule type="expression" dxfId="9" priority="10">
      <x:formula>$H13="완료"</x:formula>
    </x:cfRule>
    <x:cfRule type="expression" dxfId="10" priority="11">
      <x:formula>$H13="진행 중"</x:formula>
    </x:cfRule>
    <x:cfRule type="expression" dxfId="11" priority="12">
      <x:formula>$H13="막힘"</x:formula>
    </x:cfRule>
  </x:conditionalFormatting>
  <x:conditionalFormatting sqref="K14:AL14">
    <x:cfRule type="expression" dxfId="12" priority="13">
      <x:formula>AND(ISNUMBER($F14),ISNUMBER($G14),IF($AN14="",AND(K$9&gt;=$F14,K$9&lt;=$G14),OR(AND(K$9&gt;=$F14,K$9&lt;=$AN14),AND(K$9&gt;=$AO14,K$9&lt;=$G14))))</x:formula>
    </x:cfRule>
  </x:conditionalFormatting>
  <x:conditionalFormatting sqref="H14:H14">
    <x:cfRule type="expression" dxfId="13" priority="14">
      <x:formula>$H14="완료"</x:formula>
    </x:cfRule>
    <x:cfRule type="expression" dxfId="14" priority="15">
      <x:formula>$H14="진행 중"</x:formula>
    </x:cfRule>
    <x:cfRule type="expression" dxfId="15" priority="16">
      <x:formula>$H14="막힘"</x:formula>
    </x:cfRule>
  </x:conditionalFormatting>
  <x:conditionalFormatting sqref="K15:AL15">
    <x:cfRule type="expression" dxfId="16" priority="17">
      <x:formula>AND(ISNUMBER($F15),ISNUMBER($G15),IF($AN15="",AND(K$9&gt;=$F15,K$9&lt;=$G15),OR(AND(K$9&gt;=$F15,K$9&lt;=$AN15),AND(K$9&gt;=$AO15,K$9&lt;=$G15))))</x:formula>
    </x:cfRule>
  </x:conditionalFormatting>
  <x:conditionalFormatting sqref="H15:H15">
    <x:cfRule type="expression" dxfId="17" priority="18">
      <x:formula>$H15="완료"</x:formula>
    </x:cfRule>
    <x:cfRule type="expression" dxfId="18" priority="19">
      <x:formula>$H15="진행 중"</x:formula>
    </x:cfRule>
    <x:cfRule type="expression" dxfId="19" priority="20">
      <x:formula>$H15="막힘"</x:formula>
    </x:cfRule>
  </x:conditionalFormatting>
  <x:conditionalFormatting sqref="K16:AL16">
    <x:cfRule type="expression" dxfId="20" priority="21">
      <x:formula>AND(ISNUMBER($F16),ISNUMBER($G16),IF($AN16="",AND(K$9&gt;=$F16,K$9&lt;=$G16),OR(AND(K$9&gt;=$F16,K$9&lt;=$AN16),AND(K$9&gt;=$AO16,K$9&lt;=$G16))))</x:formula>
    </x:cfRule>
  </x:conditionalFormatting>
  <x:conditionalFormatting sqref="H16:H16">
    <x:cfRule type="expression" dxfId="21" priority="22">
      <x:formula>$H16="완료"</x:formula>
    </x:cfRule>
    <x:cfRule type="expression" dxfId="22" priority="23">
      <x:formula>$H16="진행 중"</x:formula>
    </x:cfRule>
    <x:cfRule type="expression" dxfId="23" priority="24">
      <x:formula>$H16="막힘"</x:formula>
    </x:cfRule>
  </x:conditionalFormatting>
  <x:conditionalFormatting sqref="K18:AL18">
    <x:cfRule type="expression" dxfId="24" priority="25">
      <x:formula>AND(ISNUMBER($F18),ISNUMBER($G18),IF($AN18="",AND(K$9&gt;=$F18,K$9&lt;=$G18),OR(AND(K$9&gt;=$F18,K$9&lt;=$AN18),AND(K$9&gt;=$AO18,K$9&lt;=$G18))))</x:formula>
    </x:cfRule>
  </x:conditionalFormatting>
  <x:conditionalFormatting sqref="H18:H18">
    <x:cfRule type="expression" dxfId="25" priority="26">
      <x:formula>$H18="완료"</x:formula>
    </x:cfRule>
    <x:cfRule type="expression" dxfId="26" priority="27">
      <x:formula>$H18="진행 중"</x:formula>
    </x:cfRule>
    <x:cfRule type="expression" dxfId="27" priority="28">
      <x:formula>$H18="막힘"</x:formula>
    </x:cfRule>
  </x:conditionalFormatting>
  <x:conditionalFormatting sqref="K19:AL19">
    <x:cfRule type="expression" dxfId="28" priority="29">
      <x:formula>AND(ISNUMBER($F19),ISNUMBER($G19),IF($AN19="",AND(K$9&gt;=$F19,K$9&lt;=$G19),OR(AND(K$9&gt;=$F19,K$9&lt;=$AN19),AND(K$9&gt;=$AO19,K$9&lt;=$G19))))</x:formula>
    </x:cfRule>
  </x:conditionalFormatting>
  <x:conditionalFormatting sqref="H19:H19">
    <x:cfRule type="expression" dxfId="29" priority="30">
      <x:formula>$H19="완료"</x:formula>
    </x:cfRule>
    <x:cfRule type="expression" dxfId="30" priority="31">
      <x:formula>$H19="진행 중"</x:formula>
    </x:cfRule>
    <x:cfRule type="expression" dxfId="31" priority="32">
      <x:formula>$H19="막힘"</x:formula>
    </x:cfRule>
  </x:conditionalFormatting>
  <x:conditionalFormatting sqref="K20:AL20">
    <x:cfRule type="expression" dxfId="32" priority="33">
      <x:formula>AND(ISNUMBER($F20),ISNUMBER($G20),IF($AN20="",AND(K$9&gt;=$F20,K$9&lt;=$G20),OR(AND(K$9&gt;=$F20,K$9&lt;=$AN20),AND(K$9&gt;=$AO20,K$9&lt;=$G20))))</x:formula>
    </x:cfRule>
  </x:conditionalFormatting>
  <x:conditionalFormatting sqref="H20:H20">
    <x:cfRule type="expression" dxfId="33" priority="34">
      <x:formula>$H20="완료"</x:formula>
    </x:cfRule>
    <x:cfRule type="expression" dxfId="34" priority="35">
      <x:formula>$H20="진행 중"</x:formula>
    </x:cfRule>
    <x:cfRule type="expression" dxfId="35" priority="36">
      <x:formula>$H20="막힘"</x:formula>
    </x:cfRule>
  </x:conditionalFormatting>
  <x:conditionalFormatting sqref="K21:AL21">
    <x:cfRule type="expression" dxfId="36" priority="37">
      <x:formula>AND(ISNUMBER($F21),ISNUMBER($G21),IF($AN21="",AND(K$9&gt;=$F21,K$9&lt;=$G21),OR(AND(K$9&gt;=$F21,K$9&lt;=$AN21),AND(K$9&gt;=$AO21,K$9&lt;=$G21))))</x:formula>
    </x:cfRule>
  </x:conditionalFormatting>
  <x:conditionalFormatting sqref="H21:H21">
    <x:cfRule type="expression" dxfId="37" priority="38">
      <x:formula>$H21="완료"</x:formula>
    </x:cfRule>
    <x:cfRule type="expression" dxfId="38" priority="39">
      <x:formula>$H21="진행 중"</x:formula>
    </x:cfRule>
    <x:cfRule type="expression" dxfId="39" priority="40">
      <x:formula>$H21="막힘"</x:formula>
    </x:cfRule>
  </x:conditionalFormatting>
  <x:conditionalFormatting sqref="K22:AL22">
    <x:cfRule type="expression" dxfId="40" priority="41">
      <x:formula>AND(ISNUMBER($F22),ISNUMBER($G22),IF($AN22="",AND(K$9&gt;=$F22,K$9&lt;=$G22),OR(AND(K$9&gt;=$F22,K$9&lt;=$AN22),AND(K$9&gt;=$AO22,K$9&lt;=$G22))))</x:formula>
    </x:cfRule>
  </x:conditionalFormatting>
  <x:conditionalFormatting sqref="H22:H22">
    <x:cfRule type="expression" dxfId="41" priority="42">
      <x:formula>$H22="완료"</x:formula>
    </x:cfRule>
    <x:cfRule type="expression" dxfId="42" priority="43">
      <x:formula>$H22="진행 중"</x:formula>
    </x:cfRule>
    <x:cfRule type="expression" dxfId="43" priority="44">
      <x:formula>$H22="막힘"</x:formula>
    </x:cfRule>
  </x:conditionalFormatting>
  <x:conditionalFormatting sqref="K23:AL23">
    <x:cfRule type="expression" dxfId="44" priority="45">
      <x:formula>AND(ISNUMBER($F23),ISNUMBER($G23),IF($AN23="",AND(K$9&gt;=$F23,K$9&lt;=$G23),OR(AND(K$9&gt;=$F23,K$9&lt;=$AN23),AND(K$9&gt;=$AO23,K$9&lt;=$G23))))</x:formula>
    </x:cfRule>
  </x:conditionalFormatting>
  <x:conditionalFormatting sqref="H23:H23">
    <x:cfRule type="expression" dxfId="45" priority="46">
      <x:formula>$H23="완료"</x:formula>
    </x:cfRule>
    <x:cfRule type="expression" dxfId="46" priority="47">
      <x:formula>$H23="진행 중"</x:formula>
    </x:cfRule>
    <x:cfRule type="expression" dxfId="47" priority="48">
      <x:formula>$H23="막힘"</x:formula>
    </x:cfRule>
  </x:conditionalFormatting>
  <x:conditionalFormatting sqref="K24:AL24">
    <x:cfRule type="expression" dxfId="48" priority="49">
      <x:formula>AND(ISNUMBER($F24),ISNUMBER($G24),IF($AN24="",AND(K$9&gt;=$F24,K$9&lt;=$G24),OR(AND(K$9&gt;=$F24,K$9&lt;=$AN24),AND(K$9&gt;=$AO24,K$9&lt;=$G24))))</x:formula>
    </x:cfRule>
  </x:conditionalFormatting>
  <x:conditionalFormatting sqref="H24:H24">
    <x:cfRule type="expression" dxfId="49" priority="50">
      <x:formula>$H24="완료"</x:formula>
    </x:cfRule>
    <x:cfRule type="expression" dxfId="50" priority="51">
      <x:formula>$H24="진행 중"</x:formula>
    </x:cfRule>
    <x:cfRule type="expression" dxfId="51" priority="52">
      <x:formula>$H24="막힘"</x:formula>
    </x:cfRule>
  </x:conditionalFormatting>
  <x:conditionalFormatting sqref="K25:AL25">
    <x:cfRule type="expression" dxfId="52" priority="53">
      <x:formula>AND(ISNUMBER($F25),ISNUMBER($G25),IF($AN25="",AND(K$9&gt;=$F25,K$9&lt;=$G25),OR(AND(K$9&gt;=$F25,K$9&lt;=$AN25),AND(K$9&gt;=$AO25,K$9&lt;=$G25))))</x:formula>
    </x:cfRule>
  </x:conditionalFormatting>
  <x:conditionalFormatting sqref="H25:H25">
    <x:cfRule type="expression" dxfId="53" priority="54">
      <x:formula>$H25="완료"</x:formula>
    </x:cfRule>
    <x:cfRule type="expression" dxfId="54" priority="55">
      <x:formula>$H25="진행 중"</x:formula>
    </x:cfRule>
    <x:cfRule type="expression" dxfId="55" priority="56">
      <x:formula>$H25="막힘"</x:formula>
    </x:cfRule>
  </x:conditionalFormatting>
  <x:conditionalFormatting sqref="K26:AL26">
    <x:cfRule type="expression" dxfId="56" priority="57">
      <x:formula>AND(ISNUMBER($F26),ISNUMBER($G26),IF($AN26="",AND(K$9&gt;=$F26,K$9&lt;=$G26),OR(AND(K$9&gt;=$F26,K$9&lt;=$AN26),AND(K$9&gt;=$AO26,K$9&lt;=$G26))))</x:formula>
    </x:cfRule>
  </x:conditionalFormatting>
  <x:conditionalFormatting sqref="H26:H26">
    <x:cfRule type="expression" dxfId="57" priority="58">
      <x:formula>$H26="완료"</x:formula>
    </x:cfRule>
    <x:cfRule type="expression" dxfId="58" priority="59">
      <x:formula>$H26="진행 중"</x:formula>
    </x:cfRule>
    <x:cfRule type="expression" dxfId="59" priority="60">
      <x:formula>$H26="막힘"</x:formula>
    </x:cfRule>
  </x:conditionalFormatting>
  <x:conditionalFormatting sqref="K27:AL27">
    <x:cfRule type="expression" dxfId="60" priority="61">
      <x:formula>AND(ISNUMBER($F27),ISNUMBER($G27),IF($AN27="",AND(K$9&gt;=$F27,K$9&lt;=$G27),OR(AND(K$9&gt;=$F27,K$9&lt;=$AN27),AND(K$9&gt;=$AO27,K$9&lt;=$G27))))</x:formula>
    </x:cfRule>
  </x:conditionalFormatting>
  <x:conditionalFormatting sqref="H27:H27">
    <x:cfRule type="expression" dxfId="61" priority="62">
      <x:formula>$H27="완료"</x:formula>
    </x:cfRule>
    <x:cfRule type="expression" dxfId="62" priority="63">
      <x:formula>$H27="진행 중"</x:formula>
    </x:cfRule>
    <x:cfRule type="expression" dxfId="63" priority="64">
      <x:formula>$H27="막힘"</x:formula>
    </x:cfRule>
  </x:conditionalFormatting>
  <x:conditionalFormatting sqref="K28:AL28">
    <x:cfRule type="expression" dxfId="64" priority="65">
      <x:formula>AND(ISNUMBER($F28),ISNUMBER($G28),IF($AN28="",AND(K$9&gt;=$F28,K$9&lt;=$G28),OR(AND(K$9&gt;=$F28,K$9&lt;=$AN28),AND(K$9&gt;=$AO28,K$9&lt;=$G28))))</x:formula>
    </x:cfRule>
  </x:conditionalFormatting>
  <x:conditionalFormatting sqref="H28:H28">
    <x:cfRule type="expression" dxfId="65" priority="66">
      <x:formula>$H28="완료"</x:formula>
    </x:cfRule>
    <x:cfRule type="expression" dxfId="66" priority="67">
      <x:formula>$H28="진행 중"</x:formula>
    </x:cfRule>
    <x:cfRule type="expression" dxfId="67" priority="68">
      <x:formula>$H28="막힘"</x:formula>
    </x:cfRule>
  </x:conditionalFormatting>
  <x:conditionalFormatting sqref="K30:AL30">
    <x:cfRule type="expression" dxfId="68" priority="69">
      <x:formula>AND(ISNUMBER($F30),ISNUMBER($G30),IF($AN30="",AND(K$9&gt;=$F30,K$9&lt;=$G30),OR(AND(K$9&gt;=$F30,K$9&lt;=$AN30),AND(K$9&gt;=$AO30,K$9&lt;=$G30))))</x:formula>
    </x:cfRule>
  </x:conditionalFormatting>
  <x:conditionalFormatting sqref="H30:H30">
    <x:cfRule type="expression" dxfId="69" priority="70">
      <x:formula>$H30="완료"</x:formula>
    </x:cfRule>
    <x:cfRule type="expression" dxfId="70" priority="71">
      <x:formula>$H30="진행 중"</x:formula>
    </x:cfRule>
    <x:cfRule type="expression" dxfId="71" priority="72">
      <x:formula>$H30="막힘"</x:formula>
    </x:cfRule>
  </x:conditionalFormatting>
  <x:conditionalFormatting sqref="K31:AL31">
    <x:cfRule type="expression" dxfId="72" priority="73">
      <x:formula>AND(ISNUMBER($F31),ISNUMBER($G31),IF($AN31="",AND(K$9&gt;=$F31,K$9&lt;=$G31),OR(AND(K$9&gt;=$F31,K$9&lt;=$AN31),AND(K$9&gt;=$AO31,K$9&lt;=$G31))))</x:formula>
    </x:cfRule>
  </x:conditionalFormatting>
  <x:conditionalFormatting sqref="H31:H31">
    <x:cfRule type="expression" dxfId="73" priority="74">
      <x:formula>$H31="완료"</x:formula>
    </x:cfRule>
    <x:cfRule type="expression" dxfId="74" priority="75">
      <x:formula>$H31="진행 중"</x:formula>
    </x:cfRule>
    <x:cfRule type="expression" dxfId="75" priority="76">
      <x:formula>$H31="막힘"</x:formula>
    </x:cfRule>
  </x:conditionalFormatting>
  <x:conditionalFormatting sqref="K32:AL32">
    <x:cfRule type="expression" dxfId="76" priority="77">
      <x:formula>AND(ISNUMBER($F32),ISNUMBER($G32),IF($AN32="",AND(K$9&gt;=$F32,K$9&lt;=$G32),OR(AND(K$9&gt;=$F32,K$9&lt;=$AN32),AND(K$9&gt;=$AO32,K$9&lt;=$G32))))</x:formula>
    </x:cfRule>
  </x:conditionalFormatting>
  <x:conditionalFormatting sqref="H32:H32">
    <x:cfRule type="expression" dxfId="77" priority="78">
      <x:formula>$H32="완료"</x:formula>
    </x:cfRule>
    <x:cfRule type="expression" dxfId="78" priority="79">
      <x:formula>$H32="진행 중"</x:formula>
    </x:cfRule>
    <x:cfRule type="expression" dxfId="79" priority="80">
      <x:formula>$H32="막힘"</x:formula>
    </x:cfRule>
  </x:conditionalFormatting>
  <x:conditionalFormatting sqref="K33:AL33">
    <x:cfRule type="expression" dxfId="80" priority="81">
      <x:formula>AND(ISNUMBER($F33),ISNUMBER($G33),IF($AN33="",AND(K$9&gt;=$F33,K$9&lt;=$G33),OR(AND(K$9&gt;=$F33,K$9&lt;=$AN33),AND(K$9&gt;=$AO33,K$9&lt;=$G33))))</x:formula>
    </x:cfRule>
  </x:conditionalFormatting>
  <x:conditionalFormatting sqref="H33:H33">
    <x:cfRule type="expression" dxfId="81" priority="82">
      <x:formula>$H33="완료"</x:formula>
    </x:cfRule>
    <x:cfRule type="expression" dxfId="82" priority="83">
      <x:formula>$H33="진행 중"</x:formula>
    </x:cfRule>
    <x:cfRule type="expression" dxfId="83" priority="84">
      <x:formula>$H33="막힘"</x:formula>
    </x:cfRule>
  </x:conditionalFormatting>
  <x:conditionalFormatting sqref="K34:AL34">
    <x:cfRule type="expression" dxfId="84" priority="85">
      <x:formula>AND(ISNUMBER($F34),ISNUMBER($G34),IF($AN34="",AND(K$9&gt;=$F34,K$9&lt;=$G34),OR(AND(K$9&gt;=$F34,K$9&lt;=$AN34),AND(K$9&gt;=$AO34,K$9&lt;=$G34))))</x:formula>
    </x:cfRule>
  </x:conditionalFormatting>
  <x:conditionalFormatting sqref="H34:H34">
    <x:cfRule type="expression" dxfId="85" priority="86">
      <x:formula>$H34="완료"</x:formula>
    </x:cfRule>
    <x:cfRule type="expression" dxfId="86" priority="87">
      <x:formula>$H34="진행 중"</x:formula>
    </x:cfRule>
    <x:cfRule type="expression" dxfId="87" priority="88">
      <x:formula>$H34="막힘"</x:formula>
    </x:cfRule>
  </x:conditionalFormatting>
  <x:conditionalFormatting sqref="K35:AL35">
    <x:cfRule type="expression" dxfId="88" priority="89">
      <x:formula>AND(ISNUMBER($F35),ISNUMBER($G35),IF($AN35="",AND(K$9&gt;=$F35,K$9&lt;=$G35),OR(AND(K$9&gt;=$F35,K$9&lt;=$AN35),AND(K$9&gt;=$AO35,K$9&lt;=$G35))))</x:formula>
    </x:cfRule>
  </x:conditionalFormatting>
  <x:conditionalFormatting sqref="H35:H35">
    <x:cfRule type="expression" dxfId="89" priority="90">
      <x:formula>$H35="완료"</x:formula>
    </x:cfRule>
    <x:cfRule type="expression" dxfId="90" priority="91">
      <x:formula>$H35="진행 중"</x:formula>
    </x:cfRule>
    <x:cfRule type="expression" dxfId="91" priority="92">
      <x:formula>$H35="막힘"</x:formula>
    </x:cfRule>
  </x:conditionalFormatting>
  <x:conditionalFormatting sqref="K36:AL36">
    <x:cfRule type="expression" dxfId="92" priority="93">
      <x:formula>AND(ISNUMBER($F36),ISNUMBER($G36),IF($AN36="",AND(K$9&gt;=$F36,K$9&lt;=$G36),OR(AND(K$9&gt;=$F36,K$9&lt;=$AN36),AND(K$9&gt;=$AO36,K$9&lt;=$G36))))</x:formula>
    </x:cfRule>
  </x:conditionalFormatting>
  <x:conditionalFormatting sqref="H36:H36">
    <x:cfRule type="expression" dxfId="93" priority="94">
      <x:formula>$H36="완료"</x:formula>
    </x:cfRule>
    <x:cfRule type="expression" dxfId="94" priority="95">
      <x:formula>$H36="진행 중"</x:formula>
    </x:cfRule>
    <x:cfRule type="expression" dxfId="95" priority="96">
      <x:formula>$H36="막힘"</x:formula>
    </x:cfRule>
  </x:conditionalFormatting>
  <x:conditionalFormatting sqref="K37:AL37">
    <x:cfRule type="expression" dxfId="96" priority="97">
      <x:formula>AND(ISNUMBER($F37),ISNUMBER($G37),IF($AN37="",AND(K$9&gt;=$F37,K$9&lt;=$G37),OR(AND(K$9&gt;=$F37,K$9&lt;=$AN37),AND(K$9&gt;=$AO37,K$9&lt;=$G37))))</x:formula>
    </x:cfRule>
  </x:conditionalFormatting>
  <x:conditionalFormatting sqref="H37:H37">
    <x:cfRule type="expression" dxfId="97" priority="98">
      <x:formula>$H37="완료"</x:formula>
    </x:cfRule>
    <x:cfRule type="expression" dxfId="98" priority="99">
      <x:formula>$H37="진행 중"</x:formula>
    </x:cfRule>
    <x:cfRule type="expression" dxfId="99" priority="100">
      <x:formula>$H37="막힘"</x:formula>
    </x:cfRule>
  </x:conditionalFormatting>
  <x:conditionalFormatting sqref="K38:AL38">
    <x:cfRule type="expression" dxfId="100" priority="101">
      <x:formula>AND(ISNUMBER($F38),ISNUMBER($G38),IF($AN38="",AND(K$9&gt;=$F38,K$9&lt;=$G38),OR(AND(K$9&gt;=$F38,K$9&lt;=$AN38),AND(K$9&gt;=$AO38,K$9&lt;=$G38))))</x:formula>
    </x:cfRule>
  </x:conditionalFormatting>
  <x:conditionalFormatting sqref="H38:H38">
    <x:cfRule type="expression" dxfId="101" priority="102">
      <x:formula>$H38="완료"</x:formula>
    </x:cfRule>
    <x:cfRule type="expression" dxfId="102" priority="103">
      <x:formula>$H38="진행 중"</x:formula>
    </x:cfRule>
    <x:cfRule type="expression" dxfId="103" priority="104">
      <x:formula>$H38="막힘"</x:formula>
    </x:cfRule>
  </x:conditionalFormatting>
  <x:conditionalFormatting sqref="K39:AL39">
    <x:cfRule type="expression" dxfId="104" priority="105">
      <x:formula>AND(ISNUMBER($F39),ISNUMBER($G39),IF($AN39="",AND(K$9&gt;=$F39,K$9&lt;=$G39),OR(AND(K$9&gt;=$F39,K$9&lt;=$AN39),AND(K$9&gt;=$AO39,K$9&lt;=$G39))))</x:formula>
    </x:cfRule>
  </x:conditionalFormatting>
  <x:conditionalFormatting sqref="H39:H39">
    <x:cfRule type="expression" dxfId="105" priority="106">
      <x:formula>$H39="완료"</x:formula>
    </x:cfRule>
    <x:cfRule type="expression" dxfId="106" priority="107">
      <x:formula>$H39="진행 중"</x:formula>
    </x:cfRule>
    <x:cfRule type="expression" dxfId="107" priority="108">
      <x:formula>$H39="막힘"</x:formula>
    </x:cfRule>
  </x:conditionalFormatting>
  <x:conditionalFormatting sqref="K40:AL40">
    <x:cfRule type="expression" dxfId="108" priority="109">
      <x:formula>AND(ISNUMBER($F40),ISNUMBER($G40),IF($AN40="",AND(K$9&gt;=$F40,K$9&lt;=$G40),OR(AND(K$9&gt;=$F40,K$9&lt;=$AN40),AND(K$9&gt;=$AO40,K$9&lt;=$G40))))</x:formula>
    </x:cfRule>
  </x:conditionalFormatting>
  <x:conditionalFormatting sqref="H40:H40">
    <x:cfRule type="expression" dxfId="109" priority="110">
      <x:formula>$H40="완료"</x:formula>
    </x:cfRule>
    <x:cfRule type="expression" dxfId="110" priority="111">
      <x:formula>$H40="진행 중"</x:formula>
    </x:cfRule>
    <x:cfRule type="expression" dxfId="111" priority="112">
      <x:formula>$H40="막힘"</x:formula>
    </x:cfRule>
  </x:conditionalFormatting>
  <x:conditionalFormatting sqref="K41:AL41">
    <x:cfRule type="expression" dxfId="112" priority="113">
      <x:formula>AND(ISNUMBER($F41),ISNUMBER($G41),IF($AN41="",AND(K$9&gt;=$F41,K$9&lt;=$G41),OR(AND(K$9&gt;=$F41,K$9&lt;=$AN41),AND(K$9&gt;=$AO41,K$9&lt;=$G41))))</x:formula>
    </x:cfRule>
  </x:conditionalFormatting>
  <x:conditionalFormatting sqref="H41:H41">
    <x:cfRule type="expression" dxfId="113" priority="114">
      <x:formula>$H41="완료"</x:formula>
    </x:cfRule>
    <x:cfRule type="expression" dxfId="114" priority="115">
      <x:formula>$H41="진행 중"</x:formula>
    </x:cfRule>
    <x:cfRule type="expression" dxfId="115" priority="116">
      <x:formula>$H41="막힘"</x:formula>
    </x:cfRule>
  </x:conditionalFormatting>
  <x:conditionalFormatting sqref="K42:AL42">
    <x:cfRule type="expression" dxfId="116" priority="117">
      <x:formula>AND(ISNUMBER($F42),ISNUMBER($G42),IF($AN42="",AND(K$9&gt;=$F42,K$9&lt;=$G42),OR(AND(K$9&gt;=$F42,K$9&lt;=$AN42),AND(K$9&gt;=$AO42,K$9&lt;=$G42))))</x:formula>
    </x:cfRule>
  </x:conditionalFormatting>
  <x:conditionalFormatting sqref="H42:H42">
    <x:cfRule type="expression" dxfId="117" priority="118">
      <x:formula>$H42="완료"</x:formula>
    </x:cfRule>
    <x:cfRule type="expression" dxfId="118" priority="119">
      <x:formula>$H42="진행 중"</x:formula>
    </x:cfRule>
    <x:cfRule type="expression" dxfId="119" priority="120">
      <x:formula>$H42="막힘"</x:formula>
    </x:cfRule>
  </x:conditionalFormatting>
  <x:conditionalFormatting sqref="K43:AL43">
    <x:cfRule type="expression" dxfId="120" priority="121">
      <x:formula>AND(ISNUMBER($F43),ISNUMBER($G43),IF($AN43="",AND(K$9&gt;=$F43,K$9&lt;=$G43),OR(AND(K$9&gt;=$F43,K$9&lt;=$AN43),AND(K$9&gt;=$AO43,K$9&lt;=$G43))))</x:formula>
    </x:cfRule>
  </x:conditionalFormatting>
  <x:conditionalFormatting sqref="H43:H43">
    <x:cfRule type="expression" dxfId="121" priority="122">
      <x:formula>$H43="완료"</x:formula>
    </x:cfRule>
    <x:cfRule type="expression" dxfId="122" priority="123">
      <x:formula>$H43="진행 중"</x:formula>
    </x:cfRule>
    <x:cfRule type="expression" dxfId="123" priority="124">
      <x:formula>$H43="막힘"</x:formula>
    </x:cfRule>
  </x:conditionalFormatting>
  <x:conditionalFormatting sqref="K44:AL44">
    <x:cfRule type="expression" dxfId="124" priority="125">
      <x:formula>AND(ISNUMBER($F44),ISNUMBER($G44),IF($AN44="",AND(K$9&gt;=$F44,K$9&lt;=$G44),OR(AND(K$9&gt;=$F44,K$9&lt;=$AN44),AND(K$9&gt;=$AO44,K$9&lt;=$G44))))</x:formula>
    </x:cfRule>
  </x:conditionalFormatting>
  <x:conditionalFormatting sqref="H44:H44">
    <x:cfRule type="expression" dxfId="125" priority="126">
      <x:formula>$H44="완료"</x:formula>
    </x:cfRule>
    <x:cfRule type="expression" dxfId="126" priority="127">
      <x:formula>$H44="진행 중"</x:formula>
    </x:cfRule>
    <x:cfRule type="expression" dxfId="127" priority="128">
      <x:formula>$H44="막힘"</x:formula>
    </x:cfRule>
  </x:conditionalFormatting>
  <x:conditionalFormatting sqref="K46:AL46">
    <x:cfRule type="expression" dxfId="128" priority="129">
      <x:formula>AND(ISNUMBER($F46),ISNUMBER($G46),IF($AN46="",AND(K$9&gt;=$F46,K$9&lt;=$G46),OR(AND(K$9&gt;=$F46,K$9&lt;=$AN46),AND(K$9&gt;=$AO46,K$9&lt;=$G46))))</x:formula>
    </x:cfRule>
  </x:conditionalFormatting>
  <x:conditionalFormatting sqref="H46:H46">
    <x:cfRule type="expression" dxfId="129" priority="130">
      <x:formula>$H46="완료"</x:formula>
    </x:cfRule>
    <x:cfRule type="expression" dxfId="130" priority="131">
      <x:formula>$H46="진행 중"</x:formula>
    </x:cfRule>
    <x:cfRule type="expression" dxfId="131" priority="132">
      <x:formula>$H46="막힘"</x:formula>
    </x:cfRule>
  </x:conditionalFormatting>
  <x:conditionalFormatting sqref="K47:AL47">
    <x:cfRule type="expression" dxfId="132" priority="133">
      <x:formula>AND(ISNUMBER($F47),ISNUMBER($G47),IF($AN47="",AND(K$9&gt;=$F47,K$9&lt;=$G47),OR(AND(K$9&gt;=$F47,K$9&lt;=$AN47),AND(K$9&gt;=$AO47,K$9&lt;=$G47))))</x:formula>
    </x:cfRule>
  </x:conditionalFormatting>
  <x:conditionalFormatting sqref="H47:H47">
    <x:cfRule type="expression" dxfId="133" priority="134">
      <x:formula>$H47="완료"</x:formula>
    </x:cfRule>
    <x:cfRule type="expression" dxfId="134" priority="135">
      <x:formula>$H47="진행 중"</x:formula>
    </x:cfRule>
    <x:cfRule type="expression" dxfId="135" priority="136">
      <x:formula>$H47="막힘"</x:formula>
    </x:cfRule>
  </x:conditionalFormatting>
  <x:conditionalFormatting sqref="K48:AL48">
    <x:cfRule type="expression" dxfId="136" priority="137">
      <x:formula>AND(ISNUMBER($F48),ISNUMBER($G48),IF($AN48="",AND(K$9&gt;=$F48,K$9&lt;=$G48),OR(AND(K$9&gt;=$F48,K$9&lt;=$AN48),AND(K$9&gt;=$AO48,K$9&lt;=$G48))))</x:formula>
    </x:cfRule>
  </x:conditionalFormatting>
  <x:conditionalFormatting sqref="H48:H48">
    <x:cfRule type="expression" dxfId="137" priority="138">
      <x:formula>$H48="완료"</x:formula>
    </x:cfRule>
    <x:cfRule type="expression" dxfId="138" priority="139">
      <x:formula>$H48="진행 중"</x:formula>
    </x:cfRule>
    <x:cfRule type="expression" dxfId="139" priority="140">
      <x:formula>$H48="막힘"</x:formula>
    </x:cfRule>
  </x:conditionalFormatting>
  <x:conditionalFormatting sqref="K49:AL49">
    <x:cfRule type="expression" dxfId="140" priority="141">
      <x:formula>AND(ISNUMBER($F49),ISNUMBER($G49),IF($AN49="",AND(K$9&gt;=$F49,K$9&lt;=$G49),OR(AND(K$9&gt;=$F49,K$9&lt;=$AN49),AND(K$9&gt;=$AO49,K$9&lt;=$G49))))</x:formula>
    </x:cfRule>
  </x:conditionalFormatting>
  <x:conditionalFormatting sqref="H49:H49">
    <x:cfRule type="expression" dxfId="141" priority="142">
      <x:formula>$H49="완료"</x:formula>
    </x:cfRule>
    <x:cfRule type="expression" dxfId="142" priority="143">
      <x:formula>$H49="진행 중"</x:formula>
    </x:cfRule>
    <x:cfRule type="expression" dxfId="143" priority="144">
      <x:formula>$H49="막힘"</x:formula>
    </x:cfRule>
  </x:conditionalFormatting>
  <x:conditionalFormatting sqref="K50:AL50">
    <x:cfRule type="expression" dxfId="144" priority="145">
      <x:formula>AND(ISNUMBER($F50),ISNUMBER($G50),IF($AN50="",AND(K$9&gt;=$F50,K$9&lt;=$G50),OR(AND(K$9&gt;=$F50,K$9&lt;=$AN50),AND(K$9&gt;=$AO50,K$9&lt;=$G50))))</x:formula>
    </x:cfRule>
  </x:conditionalFormatting>
  <x:conditionalFormatting sqref="H50:H50">
    <x:cfRule type="expression" dxfId="145" priority="146">
      <x:formula>$H50="완료"</x:formula>
    </x:cfRule>
    <x:cfRule type="expression" dxfId="146" priority="147">
      <x:formula>$H50="진행 중"</x:formula>
    </x:cfRule>
    <x:cfRule type="expression" dxfId="147" priority="148">
      <x:formula>$H50="막힘"</x:formula>
    </x:cfRule>
  </x:conditionalFormatting>
  <x:conditionalFormatting sqref="K51:AL51">
    <x:cfRule type="expression" dxfId="148" priority="149">
      <x:formula>AND(ISNUMBER($F51),ISNUMBER($G51),IF($AN51="",AND(K$9&gt;=$F51,K$9&lt;=$G51),OR(AND(K$9&gt;=$F51,K$9&lt;=$AN51),AND(K$9&gt;=$AO51,K$9&lt;=$G51))))</x:formula>
    </x:cfRule>
  </x:conditionalFormatting>
  <x:conditionalFormatting sqref="H51:H51">
    <x:cfRule type="expression" dxfId="149" priority="150">
      <x:formula>$H51="완료"</x:formula>
    </x:cfRule>
    <x:cfRule type="expression" dxfId="150" priority="151">
      <x:formula>$H51="진행 중"</x:formula>
    </x:cfRule>
    <x:cfRule type="expression" dxfId="151" priority="152">
      <x:formula>$H51="막힘"</x:formula>
    </x:cfRule>
  </x:conditionalFormatting>
  <x:conditionalFormatting sqref="K53:AL53">
    <x:cfRule type="expression" dxfId="152" priority="153">
      <x:formula>AND(ISNUMBER($F53),ISNUMBER($G53),IF($AN53="",AND(K$9&gt;=$F53,K$9&lt;=$G53),OR(AND(K$9&gt;=$F53,K$9&lt;=$AN53),AND(K$9&gt;=$AO53,K$9&lt;=$G53))))</x:formula>
    </x:cfRule>
  </x:conditionalFormatting>
  <x:conditionalFormatting sqref="H53:H53">
    <x:cfRule type="expression" dxfId="153" priority="154">
      <x:formula>$H53="완료"</x:formula>
    </x:cfRule>
    <x:cfRule type="expression" dxfId="154" priority="155">
      <x:formula>$H53="진행 중"</x:formula>
    </x:cfRule>
    <x:cfRule type="expression" dxfId="155" priority="156">
      <x:formula>$H53="막힘"</x:formula>
    </x:cfRule>
  </x:conditionalFormatting>
  <x:conditionalFormatting sqref="K54:AL54">
    <x:cfRule type="expression" dxfId="156" priority="157">
      <x:formula>AND(ISNUMBER($F54),ISNUMBER($G54),IF($AN54="",AND(K$9&gt;=$F54,K$9&lt;=$G54),OR(AND(K$9&gt;=$F54,K$9&lt;=$AN54),AND(K$9&gt;=$AO54,K$9&lt;=$G54))))</x:formula>
    </x:cfRule>
  </x:conditionalFormatting>
  <x:conditionalFormatting sqref="H54:H54">
    <x:cfRule type="expression" dxfId="157" priority="158">
      <x:formula>$H54="완료"</x:formula>
    </x:cfRule>
    <x:cfRule type="expression" dxfId="158" priority="159">
      <x:formula>$H54="진행 중"</x:formula>
    </x:cfRule>
    <x:cfRule type="expression" dxfId="159" priority="160">
      <x:formula>$H54="막힘"</x:formula>
    </x:cfRule>
  </x:conditionalFormatting>
  <x:conditionalFormatting sqref="K55:AL55">
    <x:cfRule type="expression" dxfId="160" priority="161">
      <x:formula>AND(ISNUMBER($F55),ISNUMBER($G55),IF($AN55="",AND(K$9&gt;=$F55,K$9&lt;=$G55),OR(AND(K$9&gt;=$F55,K$9&lt;=$AN55),AND(K$9&gt;=$AO55,K$9&lt;=$G55))))</x:formula>
    </x:cfRule>
  </x:conditionalFormatting>
  <x:conditionalFormatting sqref="H55:H55">
    <x:cfRule type="expression" dxfId="161" priority="162">
      <x:formula>$H55="완료"</x:formula>
    </x:cfRule>
    <x:cfRule type="expression" dxfId="162" priority="163">
      <x:formula>$H55="진행 중"</x:formula>
    </x:cfRule>
    <x:cfRule type="expression" dxfId="163" priority="164">
      <x:formula>$H55="막힘"</x:formula>
    </x:cfRule>
  </x:conditionalFormatting>
  <x:conditionalFormatting sqref="K56:AL56">
    <x:cfRule type="expression" dxfId="164" priority="165">
      <x:formula>AND(ISNUMBER($F56),ISNUMBER($G56),IF($AN56="",AND(K$9&gt;=$F56,K$9&lt;=$G56),OR(AND(K$9&gt;=$F56,K$9&lt;=$AN56),AND(K$9&gt;=$AO56,K$9&lt;=$G56))))</x:formula>
    </x:cfRule>
  </x:conditionalFormatting>
  <x:conditionalFormatting sqref="H56:H56">
    <x:cfRule type="expression" dxfId="165" priority="166">
      <x:formula>$H56="완료"</x:formula>
    </x:cfRule>
    <x:cfRule type="expression" dxfId="166" priority="167">
      <x:formula>$H56="진행 중"</x:formula>
    </x:cfRule>
    <x:cfRule type="expression" dxfId="167" priority="168">
      <x:formula>$H56="막힘"</x:formula>
    </x:cfRule>
  </x:conditionalFormatting>
  <x:conditionalFormatting sqref="K57:AL57">
    <x:cfRule type="expression" dxfId="168" priority="169">
      <x:formula>AND(ISNUMBER($F57),ISNUMBER($G57),IF($AN57="",AND(K$9&gt;=$F57,K$9&lt;=$G57),OR(AND(K$9&gt;=$F57,K$9&lt;=$AN57),AND(K$9&gt;=$AO57,K$9&lt;=$G57))))</x:formula>
    </x:cfRule>
  </x:conditionalFormatting>
  <x:conditionalFormatting sqref="H57:H57">
    <x:cfRule type="expression" dxfId="169" priority="170">
      <x:formula>$H57="완료"</x:formula>
    </x:cfRule>
    <x:cfRule type="expression" dxfId="170" priority="171">
      <x:formula>$H57="진행 중"</x:formula>
    </x:cfRule>
    <x:cfRule type="expression" dxfId="171" priority="172">
      <x:formula>$H57="막힘"</x:formula>
    </x:cfRule>
  </x:conditionalFormatting>
  <x:conditionalFormatting sqref="K59:AL59">
    <x:cfRule type="expression" dxfId="172" priority="173">
      <x:formula>AND(ISNUMBER($F59),ISNUMBER($G59),IF($AN59="",AND(K$9&gt;=$F59,K$9&lt;=$G59),OR(AND(K$9&gt;=$F59,K$9&lt;=$AN59),AND(K$9&gt;=$AO59,K$9&lt;=$G59))))</x:formula>
    </x:cfRule>
  </x:conditionalFormatting>
  <x:conditionalFormatting sqref="H59:H59">
    <x:cfRule type="expression" dxfId="173" priority="174">
      <x:formula>$H59="완료"</x:formula>
    </x:cfRule>
    <x:cfRule type="expression" dxfId="174" priority="175">
      <x:formula>$H59="진행 중"</x:formula>
    </x:cfRule>
    <x:cfRule type="expression" dxfId="175" priority="176">
      <x:formula>$H59="막힘"</x:formula>
    </x:cfRule>
  </x:conditionalFormatting>
  <x:conditionalFormatting sqref="K60:AL60">
    <x:cfRule type="expression" dxfId="176" priority="177">
      <x:formula>AND(ISNUMBER($F60),ISNUMBER($G60),IF($AN60="",AND(K$9&gt;=$F60,K$9&lt;=$G60),OR(AND(K$9&gt;=$F60,K$9&lt;=$AN60),AND(K$9&gt;=$AO60,K$9&lt;=$G60))))</x:formula>
    </x:cfRule>
  </x:conditionalFormatting>
  <x:conditionalFormatting sqref="H60:H60">
    <x:cfRule type="expression" dxfId="177" priority="178">
      <x:formula>$H60="완료"</x:formula>
    </x:cfRule>
    <x:cfRule type="expression" dxfId="178" priority="179">
      <x:formula>$H60="진행 중"</x:formula>
    </x:cfRule>
    <x:cfRule type="expression" dxfId="179" priority="180">
      <x:formula>$H60="막힘"</x:formula>
    </x:cfRule>
  </x:conditionalFormatting>
  <x:conditionalFormatting sqref="K61:AL61">
    <x:cfRule type="expression" dxfId="180" priority="181">
      <x:formula>AND(ISNUMBER($F61),ISNUMBER($G61),IF($AN61="",AND(K$9&gt;=$F61,K$9&lt;=$G61),OR(AND(K$9&gt;=$F61,K$9&lt;=$AN61),AND(K$9&gt;=$AO61,K$9&lt;=$G61))))</x:formula>
    </x:cfRule>
  </x:conditionalFormatting>
  <x:conditionalFormatting sqref="H61:H61">
    <x:cfRule type="expression" dxfId="181" priority="182">
      <x:formula>$H61="완료"</x:formula>
    </x:cfRule>
    <x:cfRule type="expression" dxfId="182" priority="183">
      <x:formula>$H61="진행 중"</x:formula>
    </x:cfRule>
    <x:cfRule type="expression" dxfId="183" priority="184">
      <x:formula>$H61="막힘"</x:formula>
    </x:cfRule>
  </x:conditionalFormatting>
  <x:conditionalFormatting sqref="K62:AL62">
    <x:cfRule type="expression" dxfId="184" priority="185">
      <x:formula>AND(ISNUMBER($F62),ISNUMBER($G62),IF($AN62="",AND(K$9&gt;=$F62,K$9&lt;=$G62),OR(AND(K$9&gt;=$F62,K$9&lt;=$AN62),AND(K$9&gt;=$AO62,K$9&lt;=$G62))))</x:formula>
    </x:cfRule>
  </x:conditionalFormatting>
  <x:conditionalFormatting sqref="H62:H62">
    <x:cfRule type="expression" dxfId="185" priority="186">
      <x:formula>$H62="완료"</x:formula>
    </x:cfRule>
    <x:cfRule type="expression" dxfId="186" priority="187">
      <x:formula>$H62="진행 중"</x:formula>
    </x:cfRule>
    <x:cfRule type="expression" dxfId="187" priority="188">
      <x:formula>$H62="막힘"</x:formula>
    </x:cfRule>
  </x:conditionalFormatting>
  <x:conditionalFormatting sqref="K63:AL63">
    <x:cfRule type="expression" dxfId="188" priority="189">
      <x:formula>AND(ISNUMBER($F63),ISNUMBER($G63),IF($AN63="",AND(K$9&gt;=$F63,K$9&lt;=$G63),OR(AND(K$9&gt;=$F63,K$9&lt;=$AN63),AND(K$9&gt;=$AO63,K$9&lt;=$G63))))</x:formula>
    </x:cfRule>
  </x:conditionalFormatting>
  <x:conditionalFormatting sqref="H63:H63">
    <x:cfRule type="expression" dxfId="189" priority="190">
      <x:formula>$H63="완료"</x:formula>
    </x:cfRule>
    <x:cfRule type="expression" dxfId="190" priority="191">
      <x:formula>$H63="진행 중"</x:formula>
    </x:cfRule>
    <x:cfRule type="expression" dxfId="191" priority="192">
      <x:formula>$H63="막힘"</x:formula>
    </x:cfRule>
  </x:conditionalFormatting>
  <x:conditionalFormatting sqref="K64:AL64">
    <x:cfRule type="expression" dxfId="192" priority="193">
      <x:formula>AND(ISNUMBER($F64),ISNUMBER($G64),IF($AN64="",AND(K$9&gt;=$F64,K$9&lt;=$G64),OR(AND(K$9&gt;=$F64,K$9&lt;=$AN64),AND(K$9&gt;=$AO64,K$9&lt;=$G64))))</x:formula>
    </x:cfRule>
  </x:conditionalFormatting>
  <x:conditionalFormatting sqref="H64:H64">
    <x:cfRule type="expression" dxfId="193" priority="194">
      <x:formula>$H64="완료"</x:formula>
    </x:cfRule>
    <x:cfRule type="expression" dxfId="194" priority="195">
      <x:formula>$H64="진행 중"</x:formula>
    </x:cfRule>
    <x:cfRule type="expression" dxfId="195" priority="196">
      <x:formula>$H64="막힘"</x:formula>
    </x:cfRule>
  </x:conditionalFormatting>
  <x:conditionalFormatting sqref="K65:AL65">
    <x:cfRule type="expression" dxfId="196" priority="197">
      <x:formula>AND(ISNUMBER($F65),ISNUMBER($G65),IF($AN65="",AND(K$9&gt;=$F65,K$9&lt;=$G65),OR(AND(K$9&gt;=$F65,K$9&lt;=$AN65),AND(K$9&gt;=$AO65,K$9&lt;=$G65))))</x:formula>
    </x:cfRule>
  </x:conditionalFormatting>
  <x:conditionalFormatting sqref="H65:H65">
    <x:cfRule type="expression" dxfId="197" priority="198">
      <x:formula>$H65="완료"</x:formula>
    </x:cfRule>
    <x:cfRule type="expression" dxfId="198" priority="199">
      <x:formula>$H65="진행 중"</x:formula>
    </x:cfRule>
    <x:cfRule type="expression" dxfId="199" priority="200">
      <x:formula>$H65="막힘"</x:formula>
    </x:cfRule>
  </x:conditionalFormatting>
  <x:conditionalFormatting sqref="K66:AL66">
    <x:cfRule type="expression" dxfId="200" priority="201">
      <x:formula>AND(ISNUMBER($F66),ISNUMBER($G66),IF($AN66="",AND(K$9&gt;=$F66,K$9&lt;=$G66),OR(AND(K$9&gt;=$F66,K$9&lt;=$AN66),AND(K$9&gt;=$AO66,K$9&lt;=$G66))))</x:formula>
    </x:cfRule>
  </x:conditionalFormatting>
  <x:conditionalFormatting sqref="H66:H66">
    <x:cfRule type="expression" dxfId="201" priority="202">
      <x:formula>$H66="완료"</x:formula>
    </x:cfRule>
    <x:cfRule type="expression" dxfId="202" priority="203">
      <x:formula>$H66="진행 중"</x:formula>
    </x:cfRule>
    <x:cfRule type="expression" dxfId="203" priority="204">
      <x:formula>$H66="막힘"</x:formula>
    </x:cfRule>
  </x:conditionalFormatting>
  <x:conditionalFormatting sqref="K67:AL67">
    <x:cfRule type="expression" dxfId="204" priority="205">
      <x:formula>AND(ISNUMBER($F67),ISNUMBER($G67),IF($AN67="",AND(K$9&gt;=$F67,K$9&lt;=$G67),OR(AND(K$9&gt;=$F67,K$9&lt;=$AN67),AND(K$9&gt;=$AO67,K$9&lt;=$G67))))</x:formula>
    </x:cfRule>
  </x:conditionalFormatting>
  <x:conditionalFormatting sqref="H67:H67">
    <x:cfRule type="expression" dxfId="205" priority="206">
      <x:formula>$H67="완료"</x:formula>
    </x:cfRule>
    <x:cfRule type="expression" dxfId="206" priority="207">
      <x:formula>$H67="진행 중"</x:formula>
    </x:cfRule>
    <x:cfRule type="expression" dxfId="207" priority="208">
      <x:formula>$H67="막힘"</x:formula>
    </x:cfRule>
  </x:conditionalFormatting>
  <x:conditionalFormatting sqref="K68:AL68">
    <x:cfRule type="expression" dxfId="208" priority="209">
      <x:formula>AND(ISNUMBER($F68),ISNUMBER($G68),IF($AN68="",AND(K$9&gt;=$F68,K$9&lt;=$G68),OR(AND(K$9&gt;=$F68,K$9&lt;=$AN68),AND(K$9&gt;=$AO68,K$9&lt;=$G68))))</x:formula>
    </x:cfRule>
  </x:conditionalFormatting>
  <x:conditionalFormatting sqref="H68:H68">
    <x:cfRule type="expression" dxfId="209" priority="210">
      <x:formula>$H68="완료"</x:formula>
    </x:cfRule>
    <x:cfRule type="expression" dxfId="210" priority="211">
      <x:formula>$H68="진행 중"</x:formula>
    </x:cfRule>
    <x:cfRule type="expression" dxfId="211" priority="212">
      <x:formula>$H68="막힘"</x:formula>
    </x:cfRule>
  </x:conditionalFormatting>
  <x:conditionalFormatting sqref="K69:AL69">
    <x:cfRule type="expression" dxfId="212" priority="213">
      <x:formula>AND(ISNUMBER($F69),ISNUMBER($G69),IF($AN69="",AND(K$9&gt;=$F69,K$9&lt;=$G69),OR(AND(K$9&gt;=$F69,K$9&lt;=$AN69),AND(K$9&gt;=$AO69,K$9&lt;=$G69))))</x:formula>
    </x:cfRule>
  </x:conditionalFormatting>
  <x:conditionalFormatting sqref="H69:H69">
    <x:cfRule type="expression" dxfId="213" priority="214">
      <x:formula>$H69="완료"</x:formula>
    </x:cfRule>
    <x:cfRule type="expression" dxfId="214" priority="215">
      <x:formula>$H69="진행 중"</x:formula>
    </x:cfRule>
    <x:cfRule type="expression" dxfId="215" priority="216">
      <x:formula>$H69="막힘"</x:formula>
    </x:cfRule>
  </x:conditionalFormatting>
  <x:conditionalFormatting sqref="K70:AL70">
    <x:cfRule type="expression" dxfId="216" priority="217">
      <x:formula>AND(ISNUMBER($F70),ISNUMBER($G70),IF($AN70="",AND(K$9&gt;=$F70,K$9&lt;=$G70),OR(AND(K$9&gt;=$F70,K$9&lt;=$AN70),AND(K$9&gt;=$AO70,K$9&lt;=$G70))))</x:formula>
    </x:cfRule>
  </x:conditionalFormatting>
  <x:conditionalFormatting sqref="H70:H70">
    <x:cfRule type="expression" dxfId="217" priority="218">
      <x:formula>$H70="완료"</x:formula>
    </x:cfRule>
    <x:cfRule type="expression" dxfId="218" priority="219">
      <x:formula>$H70="진행 중"</x:formula>
    </x:cfRule>
    <x:cfRule type="expression" dxfId="219" priority="220">
      <x:formula>$H70="막힘"</x:formula>
    </x:cfRule>
  </x:conditionalFormatting>
  <x:conditionalFormatting sqref="K72:AL72">
    <x:cfRule type="expression" dxfId="220" priority="221">
      <x:formula>AND(ISNUMBER($F72),ISNUMBER($G72),IF($AN72="",AND(K$9&gt;=$F72,K$9&lt;=$G72),OR(AND(K$9&gt;=$F72,K$9&lt;=$AN72),AND(K$9&gt;=$AO72,K$9&lt;=$G72))))</x:formula>
    </x:cfRule>
  </x:conditionalFormatting>
  <x:conditionalFormatting sqref="H72:H72">
    <x:cfRule type="expression" dxfId="221" priority="222">
      <x:formula>$H72="완료"</x:formula>
    </x:cfRule>
    <x:cfRule type="expression" dxfId="222" priority="223">
      <x:formula>$H72="진행 중"</x:formula>
    </x:cfRule>
    <x:cfRule type="expression" dxfId="223" priority="224">
      <x:formula>$H72="막힘"</x:formula>
    </x:cfRule>
  </x:conditionalFormatting>
  <x:conditionalFormatting sqref="K73:AL73">
    <x:cfRule type="expression" dxfId="224" priority="225">
      <x:formula>AND(ISNUMBER($F73),ISNUMBER($G73),IF($AN73="",AND(K$9&gt;=$F73,K$9&lt;=$G73),OR(AND(K$9&gt;=$F73,K$9&lt;=$AN73),AND(K$9&gt;=$AO73,K$9&lt;=$G73))))</x:formula>
    </x:cfRule>
  </x:conditionalFormatting>
  <x:conditionalFormatting sqref="H73:H73">
    <x:cfRule type="expression" dxfId="225" priority="226">
      <x:formula>$H73="완료"</x:formula>
    </x:cfRule>
    <x:cfRule type="expression" dxfId="226" priority="227">
      <x:formula>$H73="진행 중"</x:formula>
    </x:cfRule>
    <x:cfRule type="expression" dxfId="227" priority="228">
      <x:formula>$H73="막힘"</x:formula>
    </x:cfRule>
  </x:conditionalFormatting>
  <x:conditionalFormatting sqref="K74:AL74">
    <x:cfRule type="expression" dxfId="228" priority="229">
      <x:formula>AND(ISNUMBER($F74),ISNUMBER($G74),IF($AN74="",AND(K$9&gt;=$F74,K$9&lt;=$G74),OR(AND(K$9&gt;=$F74,K$9&lt;=$AN74),AND(K$9&gt;=$AO74,K$9&lt;=$G74))))</x:formula>
    </x:cfRule>
  </x:conditionalFormatting>
  <x:conditionalFormatting sqref="H74:H74">
    <x:cfRule type="expression" dxfId="229" priority="230">
      <x:formula>$H74="완료"</x:formula>
    </x:cfRule>
    <x:cfRule type="expression" dxfId="230" priority="231">
      <x:formula>$H74="진행 중"</x:formula>
    </x:cfRule>
    <x:cfRule type="expression" dxfId="231" priority="232">
      <x:formula>$H74="막힘"</x:formula>
    </x:cfRule>
  </x:conditionalFormatting>
  <x:conditionalFormatting sqref="K75:AL75">
    <x:cfRule type="expression" dxfId="232" priority="233">
      <x:formula>AND(ISNUMBER($F75),ISNUMBER($G75),IF($AN75="",AND(K$9&gt;=$F75,K$9&lt;=$G75),OR(AND(K$9&gt;=$F75,K$9&lt;=$AN75),AND(K$9&gt;=$AO75,K$9&lt;=$G75))))</x:formula>
    </x:cfRule>
  </x:conditionalFormatting>
  <x:conditionalFormatting sqref="H75:H75">
    <x:cfRule type="expression" dxfId="233" priority="234">
      <x:formula>$H75="완료"</x:formula>
    </x:cfRule>
    <x:cfRule type="expression" dxfId="234" priority="235">
      <x:formula>$H75="진행 중"</x:formula>
    </x:cfRule>
    <x:cfRule type="expression" dxfId="235" priority="236">
      <x:formula>$H75="막힘"</x:formula>
    </x:cfRule>
  </x:conditionalFormatting>
  <x:conditionalFormatting sqref="K76:AL76">
    <x:cfRule type="expression" dxfId="236" priority="237">
      <x:formula>AND(ISNUMBER($F76),ISNUMBER($G76),IF($AN76="",AND(K$9&gt;=$F76,K$9&lt;=$G76),OR(AND(K$9&gt;=$F76,K$9&lt;=$AN76),AND(K$9&gt;=$AO76,K$9&lt;=$G76))))</x:formula>
    </x:cfRule>
  </x:conditionalFormatting>
  <x:conditionalFormatting sqref="H76:H76">
    <x:cfRule type="expression" dxfId="237" priority="238">
      <x:formula>$H76="완료"</x:formula>
    </x:cfRule>
    <x:cfRule type="expression" dxfId="238" priority="239">
      <x:formula>$H76="진행 중"</x:formula>
    </x:cfRule>
    <x:cfRule type="expression" dxfId="239" priority="240">
      <x:formula>$H76="막힘"</x:formula>
    </x:cfRule>
  </x:conditionalFormatting>
  <x:conditionalFormatting sqref="K77:AL77">
    <x:cfRule type="expression" dxfId="240" priority="241">
      <x:formula>AND(ISNUMBER($F77),ISNUMBER($G77),IF($AN77="",AND(K$9&gt;=$F77,K$9&lt;=$G77),OR(AND(K$9&gt;=$F77,K$9&lt;=$AN77),AND(K$9&gt;=$AO77,K$9&lt;=$G77))))</x:formula>
    </x:cfRule>
  </x:conditionalFormatting>
  <x:conditionalFormatting sqref="H77:H77">
    <x:cfRule type="expression" dxfId="241" priority="242">
      <x:formula>$H77="완료"</x:formula>
    </x:cfRule>
    <x:cfRule type="expression" dxfId="242" priority="243">
      <x:formula>$H77="진행 중"</x:formula>
    </x:cfRule>
    <x:cfRule type="expression" dxfId="243" priority="244">
      <x:formula>$H77="막힘"</x:formula>
    </x:cfRule>
  </x:conditionalFormatting>
  <x:conditionalFormatting sqref="K78:AL78">
    <x:cfRule type="expression" dxfId="244" priority="245">
      <x:formula>AND(ISNUMBER($F78),ISNUMBER($G78),IF($AN78="",AND(K$9&gt;=$F78,K$9&lt;=$G78),OR(AND(K$9&gt;=$F78,K$9&lt;=$AN78),AND(K$9&gt;=$AO78,K$9&lt;=$G78))))</x:formula>
    </x:cfRule>
  </x:conditionalFormatting>
  <x:conditionalFormatting sqref="H78:H78">
    <x:cfRule type="expression" dxfId="245" priority="246">
      <x:formula>$H78="완료"</x:formula>
    </x:cfRule>
    <x:cfRule type="expression" dxfId="246" priority="247">
      <x:formula>$H78="진행 중"</x:formula>
    </x:cfRule>
    <x:cfRule type="expression" dxfId="247" priority="248">
      <x:formula>$H78="막힘"</x:formula>
    </x:cfRule>
  </x:conditionalFormatting>
  <x:conditionalFormatting sqref="K79:AL79">
    <x:cfRule type="expression" dxfId="248" priority="249">
      <x:formula>AND(ISNUMBER($F79),ISNUMBER($G79),IF($AN79="",AND(K$9&gt;=$F79,K$9&lt;=$G79),OR(AND(K$9&gt;=$F79,K$9&lt;=$AN79),AND(K$9&gt;=$AO79,K$9&lt;=$G79))))</x:formula>
    </x:cfRule>
  </x:conditionalFormatting>
  <x:conditionalFormatting sqref="H79:H79">
    <x:cfRule type="expression" dxfId="249" priority="250">
      <x:formula>$H79="완료"</x:formula>
    </x:cfRule>
    <x:cfRule type="expression" dxfId="250" priority="251">
      <x:formula>$H79="진행 중"</x:formula>
    </x:cfRule>
    <x:cfRule type="expression" dxfId="251" priority="252">
      <x:formula>$H79="막힘"</x:formula>
    </x:cfRule>
  </x:conditionalFormatting>
  <x:conditionalFormatting sqref="K81:AL81">
    <x:cfRule type="expression" dxfId="252" priority="253">
      <x:formula>AND(ISNUMBER($F81),ISNUMBER($G81),IF($AN81="",AND(K$9&gt;=$F81,K$9&lt;=$G81),OR(AND(K$9&gt;=$F81,K$9&lt;=$AN81),AND(K$9&gt;=$AO81,K$9&lt;=$G81))))</x:formula>
    </x:cfRule>
  </x:conditionalFormatting>
  <x:conditionalFormatting sqref="H81:H81">
    <x:cfRule type="expression" dxfId="253" priority="254">
      <x:formula>$H81="완료"</x:formula>
    </x:cfRule>
    <x:cfRule type="expression" dxfId="254" priority="255">
      <x:formula>$H81="진행 중"</x:formula>
    </x:cfRule>
    <x:cfRule type="expression" dxfId="255" priority="256">
      <x:formula>$H81="막힘"</x:formula>
    </x:cfRule>
  </x:conditionalFormatting>
  <x:conditionalFormatting sqref="K82:AL82">
    <x:cfRule type="expression" dxfId="256" priority="257">
      <x:formula>AND(ISNUMBER($F82),ISNUMBER($G82),IF($AN82="",AND(K$9&gt;=$F82,K$9&lt;=$G82),OR(AND(K$9&gt;=$F82,K$9&lt;=$AN82),AND(K$9&gt;=$AO82,K$9&lt;=$G82))))</x:formula>
    </x:cfRule>
  </x:conditionalFormatting>
  <x:conditionalFormatting sqref="H82:H82">
    <x:cfRule type="expression" dxfId="257" priority="258">
      <x:formula>$H82="완료"</x:formula>
    </x:cfRule>
    <x:cfRule type="expression" dxfId="258" priority="259">
      <x:formula>$H82="진행 중"</x:formula>
    </x:cfRule>
    <x:cfRule type="expression" dxfId="259" priority="260">
      <x:formula>$H82="막힘"</x:formula>
    </x:cfRule>
  </x:conditionalFormatting>
  <x:conditionalFormatting sqref="K83:AL83">
    <x:cfRule type="expression" dxfId="260" priority="261">
      <x:formula>AND(ISNUMBER($F83),ISNUMBER($G83),IF($AN83="",AND(K$9&gt;=$F83,K$9&lt;=$G83),OR(AND(K$9&gt;=$F83,K$9&lt;=$AN83),AND(K$9&gt;=$AO83,K$9&lt;=$G83))))</x:formula>
    </x:cfRule>
  </x:conditionalFormatting>
  <x:conditionalFormatting sqref="H83:H83">
    <x:cfRule type="expression" dxfId="261" priority="262">
      <x:formula>$H83="완료"</x:formula>
    </x:cfRule>
    <x:cfRule type="expression" dxfId="262" priority="263">
      <x:formula>$H83="진행 중"</x:formula>
    </x:cfRule>
    <x:cfRule type="expression" dxfId="263" priority="264">
      <x:formula>$H83="막힘"</x:formula>
    </x:cfRule>
  </x:conditionalFormatting>
  <x:conditionalFormatting sqref="K84:AL84">
    <x:cfRule type="expression" dxfId="264" priority="265">
      <x:formula>AND(ISNUMBER($F84),ISNUMBER($G84),IF($AN84="",AND(K$9&gt;=$F84,K$9&lt;=$G84),OR(AND(K$9&gt;=$F84,K$9&lt;=$AN84),AND(K$9&gt;=$AO84,K$9&lt;=$G84))))</x:formula>
    </x:cfRule>
  </x:conditionalFormatting>
  <x:conditionalFormatting sqref="H84:H84">
    <x:cfRule type="expression" dxfId="265" priority="266">
      <x:formula>$H84="완료"</x:formula>
    </x:cfRule>
    <x:cfRule type="expression" dxfId="266" priority="267">
      <x:formula>$H84="진행 중"</x:formula>
    </x:cfRule>
    <x:cfRule type="expression" dxfId="267" priority="268">
      <x:formula>$H84="막힘"</x:formula>
    </x:cfRule>
  </x:conditionalFormatting>
  <x:conditionalFormatting sqref="K85:AL85">
    <x:cfRule type="expression" dxfId="268" priority="269">
      <x:formula>AND(ISNUMBER($F85),ISNUMBER($G85),IF($AN85="",AND(K$9&gt;=$F85,K$9&lt;=$G85),OR(AND(K$9&gt;=$F85,K$9&lt;=$AN85),AND(K$9&gt;=$AO85,K$9&lt;=$G85))))</x:formula>
    </x:cfRule>
  </x:conditionalFormatting>
  <x:conditionalFormatting sqref="H85:H85">
    <x:cfRule type="expression" dxfId="269" priority="270">
      <x:formula>$H85="완료"</x:formula>
    </x:cfRule>
    <x:cfRule type="expression" dxfId="270" priority="271">
      <x:formula>$H85="진행 중"</x:formula>
    </x:cfRule>
    <x:cfRule type="expression" dxfId="271" priority="272">
      <x:formula>$H85="막힘"</x:formula>
    </x:cfRule>
  </x:conditionalFormatting>
  <x:conditionalFormatting sqref="K86:AL86">
    <x:cfRule type="expression" dxfId="272" priority="273">
      <x:formula>AND(ISNUMBER($F86),ISNUMBER($G86),IF($AN86="",AND(K$9&gt;=$F86,K$9&lt;=$G86),OR(AND(K$9&gt;=$F86,K$9&lt;=$AN86),AND(K$9&gt;=$AO86,K$9&lt;=$G86))))</x:formula>
    </x:cfRule>
  </x:conditionalFormatting>
  <x:conditionalFormatting sqref="H86:H86">
    <x:cfRule type="expression" dxfId="273" priority="274">
      <x:formula>$H86="완료"</x:formula>
    </x:cfRule>
    <x:cfRule type="expression" dxfId="274" priority="275">
      <x:formula>$H86="진행 중"</x:formula>
    </x:cfRule>
    <x:cfRule type="expression" dxfId="275" priority="276">
      <x:formula>$H86="막힘"</x:formula>
    </x:cfRule>
  </x:conditionalFormatting>
  <x:conditionalFormatting sqref="K87:AL87">
    <x:cfRule type="expression" dxfId="276" priority="277">
      <x:formula>AND(ISNUMBER($F87),ISNUMBER($G87),IF($AN87="",AND(K$9&gt;=$F87,K$9&lt;=$G87),OR(AND(K$9&gt;=$F87,K$9&lt;=$AN87),AND(K$9&gt;=$AO87,K$9&lt;=$G87))))</x:formula>
    </x:cfRule>
  </x:conditionalFormatting>
  <x:conditionalFormatting sqref="H87:H87">
    <x:cfRule type="expression" dxfId="277" priority="278">
      <x:formula>$H87="완료"</x:formula>
    </x:cfRule>
    <x:cfRule type="expression" dxfId="278" priority="279">
      <x:formula>$H87="진행 중"</x:formula>
    </x:cfRule>
    <x:cfRule type="expression" dxfId="279" priority="280">
      <x:formula>$H87="막힘"</x:formula>
    </x:cfRule>
  </x:conditionalFormatting>
  <x:conditionalFormatting sqref="K88:AL88">
    <x:cfRule type="expression" dxfId="280" priority="281">
      <x:formula>AND(ISNUMBER($F88),ISNUMBER($G88),IF($AN88="",AND(K$9&gt;=$F88,K$9&lt;=$G88),OR(AND(K$9&gt;=$F88,K$9&lt;=$AN88),AND(K$9&gt;=$AO88,K$9&lt;=$G88))))</x:formula>
    </x:cfRule>
  </x:conditionalFormatting>
  <x:conditionalFormatting sqref="H88:H88">
    <x:cfRule type="expression" dxfId="281" priority="282">
      <x:formula>$H88="완료"</x:formula>
    </x:cfRule>
    <x:cfRule type="expression" dxfId="282" priority="283">
      <x:formula>$H88="진행 중"</x:formula>
    </x:cfRule>
    <x:cfRule type="expression" dxfId="283" priority="284">
      <x:formula>$H88="막힘"</x:formula>
    </x:cfRule>
  </x:conditionalFormatting>
  <x:conditionalFormatting sqref="K89:AL89">
    <x:cfRule type="expression" dxfId="284" priority="285">
      <x:formula>AND(ISNUMBER($F89),ISNUMBER($G89),IF($AN89="",AND(K$9&gt;=$F89,K$9&lt;=$G89),OR(AND(K$9&gt;=$F89,K$9&lt;=$AN89),AND(K$9&gt;=$AO89,K$9&lt;=$G89))))</x:formula>
    </x:cfRule>
  </x:conditionalFormatting>
  <x:conditionalFormatting sqref="H89:H89">
    <x:cfRule type="expression" dxfId="285" priority="286">
      <x:formula>$H89="완료"</x:formula>
    </x:cfRule>
    <x:cfRule type="expression" dxfId="286" priority="287">
      <x:formula>$H89="진행 중"</x:formula>
    </x:cfRule>
    <x:cfRule type="expression" dxfId="287" priority="288">
      <x:formula>$H89="막힘"</x:formula>
    </x:cfRule>
  </x:conditionalFormatting>
  <x:conditionalFormatting sqref="K90:AL90">
    <x:cfRule type="expression" dxfId="288" priority="289">
      <x:formula>AND(ISNUMBER($F90),ISNUMBER($G90),IF($AN90="",AND(K$9&gt;=$F90,K$9&lt;=$G90),OR(AND(K$9&gt;=$F90,K$9&lt;=$AN90),AND(K$9&gt;=$AO90,K$9&lt;=$G90))))</x:formula>
    </x:cfRule>
  </x:conditionalFormatting>
  <x:conditionalFormatting sqref="H90:H90">
    <x:cfRule type="expression" dxfId="289" priority="290">
      <x:formula>$H90="완료"</x:formula>
    </x:cfRule>
    <x:cfRule type="expression" dxfId="290" priority="291">
      <x:formula>$H90="진행 중"</x:formula>
    </x:cfRule>
    <x:cfRule type="expression" dxfId="291" priority="292">
      <x:formula>$H90="막힘"</x:formula>
    </x:cfRule>
  </x:conditionalFormatting>
  <x:dataValidations count="73">
    <x:dataValidation type="list" sqref="H11">
      <x:formula1>"미확인,예정,진행 중,검토 중,막힘,완료"</x:formula1>
    </x:dataValidation>
    <x:dataValidation type="list" sqref="H12">
      <x:formula1>"미확인,예정,진행 중,검토 중,막힘,완료"</x:formula1>
    </x:dataValidation>
    <x:dataValidation type="list" sqref="H13">
      <x:formula1>"미확인,예정,진행 중,검토 중,막힘,완료"</x:formula1>
    </x:dataValidation>
    <x:dataValidation type="list" sqref="H14">
      <x:formula1>"미확인,예정,진행 중,검토 중,막힘,완료"</x:formula1>
    </x:dataValidation>
    <x:dataValidation type="list" sqref="H15">
      <x:formula1>"미확인,예정,진행 중,검토 중,막힘,완료"</x:formula1>
    </x:dataValidation>
    <x:dataValidation type="list" sqref="H16">
      <x:formula1>"미확인,예정,진행 중,검토 중,막힘,완료"</x:formula1>
    </x:dataValidation>
    <x:dataValidation type="list" sqref="H18">
      <x:formula1>"미확인,예정,진행 중,검토 중,막힘,완료"</x:formula1>
    </x:dataValidation>
    <x:dataValidation type="list" sqref="H19">
      <x:formula1>"미확인,예정,진행 중,검토 중,막힘,완료"</x:formula1>
    </x:dataValidation>
    <x:dataValidation type="list" sqref="H20">
      <x:formula1>"미확인,예정,진행 중,검토 중,막힘,완료"</x:formula1>
    </x:dataValidation>
    <x:dataValidation type="list" sqref="H21">
      <x:formula1>"미확인,예정,진행 중,검토 중,막힘,완료"</x:formula1>
    </x:dataValidation>
    <x:dataValidation type="list" sqref="H22">
      <x:formula1>"미확인,예정,진행 중,검토 중,막힘,완료"</x:formula1>
    </x:dataValidation>
    <x:dataValidation type="list" sqref="H23">
      <x:formula1>"미확인,예정,진행 중,검토 중,막힘,완료"</x:formula1>
    </x:dataValidation>
    <x:dataValidation type="list" sqref="H24">
      <x:formula1>"미확인,예정,진행 중,검토 중,막힘,완료"</x:formula1>
    </x:dataValidation>
    <x:dataValidation type="list" sqref="H25">
      <x:formula1>"미확인,예정,진행 중,검토 중,막힘,완료"</x:formula1>
    </x:dataValidation>
    <x:dataValidation type="list" sqref="H26">
      <x:formula1>"미확인,예정,진행 중,검토 중,막힘,완료"</x:formula1>
    </x:dataValidation>
    <x:dataValidation type="list" sqref="H27">
      <x:formula1>"미확인,예정,진행 중,검토 중,막힘,완료"</x:formula1>
    </x:dataValidation>
    <x:dataValidation type="list" sqref="H28">
      <x:formula1>"미확인,예정,진행 중,검토 중,막힘,완료"</x:formula1>
    </x:dataValidation>
    <x:dataValidation type="list" sqref="H30">
      <x:formula1>"미확인,예정,진행 중,검토 중,막힘,완료"</x:formula1>
    </x:dataValidation>
    <x:dataValidation type="list" sqref="H31">
      <x:formula1>"미확인,예정,진행 중,검토 중,막힘,완료"</x:formula1>
    </x:dataValidation>
    <x:dataValidation type="list" sqref="H32">
      <x:formula1>"미확인,예정,진행 중,검토 중,막힘,완료"</x:formula1>
    </x:dataValidation>
    <x:dataValidation type="list" sqref="H33">
      <x:formula1>"미확인,예정,진행 중,검토 중,막힘,완료"</x:formula1>
    </x:dataValidation>
    <x:dataValidation type="list" sqref="H34">
      <x:formula1>"미확인,예정,진행 중,검토 중,막힘,완료"</x:formula1>
    </x:dataValidation>
    <x:dataValidation type="list" sqref="H35">
      <x:formula1>"미확인,예정,진행 중,검토 중,막힘,완료"</x:formula1>
    </x:dataValidation>
    <x:dataValidation type="list" sqref="H36">
      <x:formula1>"미확인,예정,진행 중,검토 중,막힘,완료"</x:formula1>
    </x:dataValidation>
    <x:dataValidation type="list" sqref="H37">
      <x:formula1>"미확인,예정,진행 중,검토 중,막힘,완료"</x:formula1>
    </x:dataValidation>
    <x:dataValidation type="list" sqref="H38">
      <x:formula1>"미확인,예정,진행 중,검토 중,막힘,완료"</x:formula1>
    </x:dataValidation>
    <x:dataValidation type="list" sqref="H39">
      <x:formula1>"미확인,예정,진행 중,검토 중,막힘,완료"</x:formula1>
    </x:dataValidation>
    <x:dataValidation type="list" sqref="H40">
      <x:formula1>"미확인,예정,진행 중,검토 중,막힘,완료"</x:formula1>
    </x:dataValidation>
    <x:dataValidation type="list" sqref="H41">
      <x:formula1>"미확인,예정,진행 중,검토 중,막힘,완료"</x:formula1>
    </x:dataValidation>
    <x:dataValidation type="list" sqref="H42">
      <x:formula1>"미확인,예정,진행 중,검토 중,막힘,완료"</x:formula1>
    </x:dataValidation>
    <x:dataValidation type="list" sqref="H43">
      <x:formula1>"미확인,예정,진행 중,검토 중,막힘,완료"</x:formula1>
    </x:dataValidation>
    <x:dataValidation type="list" sqref="H44">
      <x:formula1>"미확인,예정,진행 중,검토 중,막힘,완료"</x:formula1>
    </x:dataValidation>
    <x:dataValidation type="list" sqref="H46">
      <x:formula1>"미확인,예정,진행 중,검토 중,막힘,완료"</x:formula1>
    </x:dataValidation>
    <x:dataValidation type="list" sqref="H47">
      <x:formula1>"미확인,예정,진행 중,검토 중,막힘,완료"</x:formula1>
    </x:dataValidation>
    <x:dataValidation type="list" sqref="H48">
      <x:formula1>"미확인,예정,진행 중,검토 중,막힘,완료"</x:formula1>
    </x:dataValidation>
    <x:dataValidation type="list" sqref="H49">
      <x:formula1>"미확인,예정,진행 중,검토 중,막힘,완료"</x:formula1>
    </x:dataValidation>
    <x:dataValidation type="list" sqref="H50">
      <x:formula1>"미확인,예정,진행 중,검토 중,막힘,완료"</x:formula1>
    </x:dataValidation>
    <x:dataValidation type="list" sqref="H51">
      <x:formula1>"미확인,예정,진행 중,검토 중,막힘,완료"</x:formula1>
    </x:dataValidation>
    <x:dataValidation type="list" sqref="H53">
      <x:formula1>"미확인,예정,진행 중,검토 중,막힘,완료"</x:formula1>
    </x:dataValidation>
    <x:dataValidation type="list" sqref="H54">
      <x:formula1>"미확인,예정,진행 중,검토 중,막힘,완료"</x:formula1>
    </x:dataValidation>
    <x:dataValidation type="list" sqref="H55">
      <x:formula1>"미확인,예정,진행 중,검토 중,막힘,완료"</x:formula1>
    </x:dataValidation>
    <x:dataValidation type="list" sqref="H56">
      <x:formula1>"미확인,예정,진행 중,검토 중,막힘,완료"</x:formula1>
    </x:dataValidation>
    <x:dataValidation type="list" sqref="H57">
      <x:formula1>"미확인,예정,진행 중,검토 중,막힘,완료"</x:formula1>
    </x:dataValidation>
    <x:dataValidation type="list" sqref="H59">
      <x:formula1>"미확인,예정,진행 중,검토 중,막힘,완료"</x:formula1>
    </x:dataValidation>
    <x:dataValidation type="list" sqref="H60">
      <x:formula1>"미확인,예정,진행 중,검토 중,막힘,완료"</x:formula1>
    </x:dataValidation>
    <x:dataValidation type="list" sqref="H61">
      <x:formula1>"미확인,예정,진행 중,검토 중,막힘,완료"</x:formula1>
    </x:dataValidation>
    <x:dataValidation type="list" sqref="H62">
      <x:formula1>"미확인,예정,진행 중,검토 중,막힘,완료"</x:formula1>
    </x:dataValidation>
    <x:dataValidation type="list" sqref="H63">
      <x:formula1>"미확인,예정,진행 중,검토 중,막힘,완료"</x:formula1>
    </x:dataValidation>
    <x:dataValidation type="list" sqref="H64">
      <x:formula1>"미확인,예정,진행 중,검토 중,막힘,완료"</x:formula1>
    </x:dataValidation>
    <x:dataValidation type="list" sqref="H65">
      <x:formula1>"미확인,예정,진행 중,검토 중,막힘,완료"</x:formula1>
    </x:dataValidation>
    <x:dataValidation type="list" sqref="H66">
      <x:formula1>"미확인,예정,진행 중,검토 중,막힘,완료"</x:formula1>
    </x:dataValidation>
    <x:dataValidation type="list" sqref="H67">
      <x:formula1>"미확인,예정,진행 중,검토 중,막힘,완료"</x:formula1>
    </x:dataValidation>
    <x:dataValidation type="list" sqref="H68">
      <x:formula1>"미확인,예정,진행 중,검토 중,막힘,완료"</x:formula1>
    </x:dataValidation>
    <x:dataValidation type="list" sqref="H69">
      <x:formula1>"미확인,예정,진행 중,검토 중,막힘,완료"</x:formula1>
    </x:dataValidation>
    <x:dataValidation type="list" sqref="H70">
      <x:formula1>"미확인,예정,진행 중,검토 중,막힘,완료"</x:formula1>
    </x:dataValidation>
    <x:dataValidation type="list" sqref="H72">
      <x:formula1>"미확인,예정,진행 중,검토 중,막힘,완료"</x:formula1>
    </x:dataValidation>
    <x:dataValidation type="list" sqref="H73">
      <x:formula1>"미확인,예정,진행 중,검토 중,막힘,완료"</x:formula1>
    </x:dataValidation>
    <x:dataValidation type="list" sqref="H74">
      <x:formula1>"미확인,예정,진행 중,검토 중,막힘,완료"</x:formula1>
    </x:dataValidation>
    <x:dataValidation type="list" sqref="H75">
      <x:formula1>"미확인,예정,진행 중,검토 중,막힘,완료"</x:formula1>
    </x:dataValidation>
    <x:dataValidation type="list" sqref="H76">
      <x:formula1>"미확인,예정,진행 중,검토 중,막힘,완료"</x:formula1>
    </x:dataValidation>
    <x:dataValidation type="list" sqref="H77">
      <x:formula1>"미확인,예정,진행 중,검토 중,막힘,완료"</x:formula1>
    </x:dataValidation>
    <x:dataValidation type="list" sqref="H78">
      <x:formula1>"미확인,예정,진행 중,검토 중,막힘,완료"</x:formula1>
    </x:dataValidation>
    <x:dataValidation type="list" sqref="H79">
      <x:formula1>"미확인,예정,진행 중,검토 중,막힘,완료"</x:formula1>
    </x:dataValidation>
    <x:dataValidation type="list" sqref="H81">
      <x:formula1>"미확인,예정,진행 중,검토 중,막힘,완료"</x:formula1>
    </x:dataValidation>
    <x:dataValidation type="list" sqref="H82">
      <x:formula1>"미확인,예정,진행 중,검토 중,막힘,완료"</x:formula1>
    </x:dataValidation>
    <x:dataValidation type="list" sqref="H83">
      <x:formula1>"미확인,예정,진행 중,검토 중,막힘,완료"</x:formula1>
    </x:dataValidation>
    <x:dataValidation type="list" sqref="H84">
      <x:formula1>"미확인,예정,진행 중,검토 중,막힘,완료"</x:formula1>
    </x:dataValidation>
    <x:dataValidation type="list" sqref="H85">
      <x:formula1>"미확인,예정,진행 중,검토 중,막힘,완료"</x:formula1>
    </x:dataValidation>
    <x:dataValidation type="list" sqref="H86">
      <x:formula1>"미확인,예정,진행 중,검토 중,막힘,완료"</x:formula1>
    </x:dataValidation>
    <x:dataValidation type="list" sqref="H87">
      <x:formula1>"미확인,예정,진행 중,검토 중,막힘,완료"</x:formula1>
    </x:dataValidation>
    <x:dataValidation type="list" sqref="H88">
      <x:formula1>"미확인,예정,진행 중,검토 중,막힘,완료"</x:formula1>
    </x:dataValidation>
    <x:dataValidation type="list" sqref="H89">
      <x:formula1>"미확인,예정,진행 중,검토 중,막힘,완료"</x:formula1>
    </x:dataValidation>
    <x:dataValidation type="list" sqref="H90">
      <x:formula1>"미확인,예정,진행 중,검토 중,막힘,완료"</x:formula1>
    </x:dataValidation>
  </x:dataValidations>
  <x:printOptions horizontalCentered="1" gridLines="0" headings="0"/>
  <x:pageMargins left="0.22" right="0.22" top="0.30" bottom="0.30" header="0.12" footer="0.12"/>
  <x:pageSetup paperSize="8" orientation="landscape" fitToWidth="2" fitToHeight="0" pageOrder="downThenOver"/>
  <x:headerFooter>
    <x:oddFooter>&amp;LTeam Blocks  2026.10.22&amp;C전체 WBS&amp;R&amp;P / &amp;N</x:oddFooter>
  </x:headerFooter>
  <x:rowBreaks count="5" manualBreakCount="5">
    <x:brk id="28" min="0" max="16383" man="1"/>
    <x:brk id="44" min="0" max="16383" man="1"/>
    <x:brk id="57" min="0" max="16383" man="1"/>
    <x:brk id="70" min="0" max="16383" man="1"/>
    <x:brk id="79" min="0" max="16383" man="1"/>
  </x:rowBreaks>
</x:worksheet>
</file>

<file path=xl/worksheets/sheet2.xml><?xml version="1.0" encoding="utf-8"?>
<x:worksheet xmlns:x="http://schemas.openxmlformats.org/spreadsheetml/2006/main">
  <x:sheetPr>
    <x:tabColor rgb="FF2F6FAE"/>
    <x:pageSetUpPr fitToPage="1" autoPageBreaks="0"/>
  </x:sheetPr>
  <x:sheetViews>
    <x:sheetView showGridLines="0" workbookViewId="0" zoomScale="95" topLeftCell="A1">
      <x:pane xSplit="3" ySplit="7" topLeftCell="D8" activePane="bottomRight" state="frozen"/>
    </x:sheetView>
  </x:sheetViews>
  <x:sheetFormatPr defaultRowHeight="15"/>
  <x:cols>
    <x:col min="1" max="1" width="12.9986" hidden="0" customWidth="1"/>
    <x:col min="2" max="2" width="6.8529" hidden="0" customWidth="1"/>
    <x:col min="3" max="3" width="9.0" hidden="0" customWidth="1"/>
    <x:col min="4" max="4" width="10.5686" hidden="0" customWidth="1"/>
    <x:col min="5" max="5" width="36" hidden="0" customWidth="1"/>
    <x:col min="6" max="6" width="7.8557" hidden="0" customWidth="1"/>
    <x:col min="7" max="7" width="7.8557" hidden="0" customWidth="1"/>
    <x:col min="8" max="8" width="8.8586" hidden="0" customWidth="1"/>
    <x:col min="9" max="9" width="22" hidden="0" customWidth="1"/>
    <x:col min="10" max="10" width="16.5729" hidden="0" customWidth="1"/>
    <x:col min="11" max="11" width="29" hidden="0" customWidth="1"/>
    <x:col min="12" max="12" width="9" hidden="0" customWidth="1"/>
    <x:col min="13" max="13" width="12.8571" hidden="1" customWidth="1"/>
    <x:col min="14" max="14" width="10.0029" hidden="1" customWidth="1"/>
    <x:col min="15" max="15" width="10.0029" hidden="1" customWidth="1"/>
  </x:cols>
  <x:sheetData>
    <x:row r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30" customHeight="1">
      <x:c r="A2" s="5" t="str">
        <x:v>OTTer Shield   담당별 일정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4"/>
      <x:c r="N2" s="4"/>
      <x:c r="O2" s="4"/>
    </x:row>
    <x:row r="3" ht="24" customHeight="1">
      <x:c r="A3" s="8" t="str">
        <x:v>주담당·협업을 함께 조회. 담당자 → 시작일 순 자동 정렬. 수정은 전체 WBS에서만 입력.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4"/>
      <x:c r="N3" s="4"/>
      <x:c r="O3" s="4"/>
    </x:row>
    <x:row r="4" ht="24" customHeight="1">
      <x:c r="A4" s="8" t="str">
        <x:v>동일 업무가 협업 담당자의 조회에도 나타납니다. 원본 일정은 하나이며 공수 합산용 표가 아닙니다.</x:v>
      </x:c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4"/>
      <x:c r="N4" s="4"/>
      <x:c r="O4" s="4"/>
    </x:row>
    <x:row r="5" ht="24" customHeight="1">
      <x:c r="A5" s="10" t="str">
        <x:v>M5 조회에는 캐나다 인프라·AWS·개발·PM 취합이 모두 포함됩니다. 필터로 담당자·역할·상태를 선택하세요.</x:v>
      </x:c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4"/>
      <x:c r="N5" s="4"/>
      <x:c r="O5" s="4"/>
    </x:row>
    <x:row r="6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</x:row>
    <x:row r="7" ht="27" customHeight="1">
      <x:c r="A7" s="21" t="str">
        <x:v>조회 담당</x:v>
      </x:c>
      <x:c r="B7" s="21" t="str">
        <x:v>참여</x:v>
      </x:c>
      <x:c r="C7" s="21" t="str">
        <x:v>WBS ID</x:v>
      </x:c>
      <x:c r="D7" s="21" t="str">
        <x:v>구분</x:v>
      </x:c>
      <x:c r="E7" s="21" t="str">
        <x:v>작업명</x:v>
      </x:c>
      <x:c r="F7" s="21" t="str">
        <x:v>시작일</x:v>
      </x:c>
      <x:c r="G7" s="21" t="str">
        <x:v>마감일</x:v>
      </x:c>
      <x:c r="H7" s="21" t="str">
        <x:v>상태</x:v>
      </x:c>
      <x:c r="I7" s="21" t="str">
        <x:v>선행 업무 ID</x:v>
      </x:c>
      <x:c r="J7" s="21" t="str">
        <x:v>주담당</x:v>
      </x:c>
      <x:c r="K7" s="21" t="str">
        <x:v>협업 담당</x:v>
      </x:c>
      <x:c r="L7" s="21" t="str">
        <x:v>Issue</x:v>
      </x:c>
      <x:c r="M7" s="4"/>
      <x:c r="N7" s="4"/>
      <x:c r="O7" s="4"/>
    </x:row>
    <x:row r="8" ht="31" customHeight="1">
      <x:c r="A8" s="90" t="str">
        <x:f>IF($M8="","",INDEX('전체 WBS'!$AR$9:$AV$9,1,$O8))</x:f>
        <x:v>M1 유용수</x:v>
      </x:c>
      <x:c r="B8" s="90" t="str">
        <x:f>IF($M8="","",IF(ISNUMBER(SEARCH($A8,INDEX('전체 WBS'!$D$1:$D$90,$N8))),"주담당","협업"))</x:f>
        <x:v>주담당</x:v>
      </x:c>
      <x:c r="C8" s="90" t="str">
        <x:f>IF($M8="","",INDEX('전체 WBS'!$A$1:$A$90,$N8))</x:f>
        <x:v>I01</x:v>
      </x:c>
      <x:c r="D8" s="90" t="str">
        <x:f>IF($M8="","",INDEX('전체 WBS'!$B$1:$B$90,$N8))</x:f>
        <x:v>인프라</x:v>
      </x:c>
      <x:c r="E8" s="90" t="str">
        <x:f>IF($M8="","",INDEX('전체 WBS'!$C$1:$C$90,$N8))</x:f>
        <x:v>한국 본사 AS-IS 토폴로지 작성</x:v>
      </x:c>
      <x:c r="F8" s="91" t="str">
        <x:f>IF($M8="","",INDEX('전체 WBS'!$F$1:$F$90,$N8))</x:f>
        <x:v>46315</x:v>
      </x:c>
      <x:c r="G8" s="91" t="str">
        <x:f>IF($M8="","",INDEX('전체 WBS'!$G$1:$G$90,$N8))</x:f>
        <x:v>46316</x:v>
      </x:c>
      <x:c r="H8" s="92" t="str">
        <x:f>IF($M8="","",INDEX('전체 WBS'!$H$1:$H$90,$N8))</x:f>
        <x:v>완료</x:v>
      </x:c>
      <x:c r="I8" s="90" t="str">
        <x:f>IF($M8="","",INDEX('전체 WBS'!$I$1:$I$90,$N8))</x:f>
        <x:v>—</x:v>
      </x:c>
      <x:c r="J8" s="90" t="str">
        <x:f>IF($M8="","",INDEX('전체 WBS'!$D$1:$D$90,$N8))</x:f>
        <x:v>M1 유용수</x:v>
      </x:c>
      <x:c r="K8" s="90" t="str">
        <x:f>IF($M8="","",INDEX('전체 WBS'!$E$1:$E$90,$N8))</x:f>
        <x:v>M3 홍은서</x:v>
      </x:c>
      <x:c r="L8" s="99" t="str">
        <x:f>IF($M8="","",HYPERLINK(INDEX('전체 WBS'!$AW$1:$AW$90,$N8),"원문"))</x:f>
        <x:v>원문</x:v>
      </x:c>
      <x:c r="M8" s="4" t="n">
        <x:f>IF(1&lt;=COUNTIFS('전체 WBS'!$AR$10:$AV$90,"&lt;1000000000"),SMALL('전체 WBS'!$AR$10:$AV$90,1),"")</x:f>
        <x:v>146315011.0</x:v>
      </x:c>
      <x:c r="N8" s="4" t="n">
        <x:f>IF($M8="","",MOD($M8,1000))</x:f>
        <x:v>11.0</x:v>
      </x:c>
      <x:c r="O8" s="4" t="n">
        <x:f>IF($M8="","",INT($M8/100000000))</x:f>
        <x:v>1.0</x:v>
      </x:c>
    </x:row>
    <x:row r="9" ht="31" customHeight="1">
      <x:c r="A9" s="93" t="str">
        <x:f>IF($M9="","",INDEX('전체 WBS'!$AR$9:$AV$9,1,$O9))</x:f>
        <x:v>M1 유용수</x:v>
      </x:c>
      <x:c r="B9" s="93" t="str">
        <x:f>IF($M9="","",IF(ISNUMBER(SEARCH($A9,INDEX('전체 WBS'!$D$1:$D$90,$N9))),"주담당","협업"))</x:f>
        <x:v>협업</x:v>
      </x:c>
      <x:c r="C9" s="93" t="str">
        <x:f>IF($M9="","",INDEX('전체 WBS'!$A$1:$A$90,$N9))</x:f>
        <x:v>C6.1</x:v>
      </x:c>
      <x:c r="D9" s="93" t="str">
        <x:f>IF($M9="","",INDEX('전체 WBS'!$B$1:$B$90,$N9))</x:f>
        <x:v>공동·관리</x:v>
      </x:c>
      <x:c r="E9" s="93" t="str">
        <x:f>IF($M9="","",INDEX('전체 WBS'!$C$1:$C$90,$N9))</x:f>
        <x:v>IP·구축 환경 기술 검토·계획서 개정</x:v>
      </x:c>
      <x:c r="F9" s="94" t="str">
        <x:f>IF($M9="","",INDEX('전체 WBS'!$F$1:$F$90,$N9))</x:f>
        <x:v>46316</x:v>
      </x:c>
      <x:c r="G9" s="94" t="str">
        <x:f>IF($M9="","",INDEX('전체 WBS'!$G$1:$G$90,$N9))</x:f>
        <x:v>46318</x:v>
      </x:c>
      <x:c r="H9" s="95" t="str">
        <x:f>IF($M9="","",INDEX('전체 WBS'!$H$1:$H$90,$N9))</x:f>
        <x:v>진행 중</x:v>
      </x:c>
      <x:c r="I9" s="93" t="str">
        <x:f>IF($M9="","",INDEX('전체 WBS'!$I$1:$I$90,$N9))</x:f>
        <x:v>I01, I02, I03, I04, I05</x:v>
      </x:c>
      <x:c r="J9" s="93" t="str">
        <x:f>IF($M9="","",INDEX('전체 WBS'!$D$1:$D$90,$N9))</x:f>
        <x:v>M5 유은혜(PM)</x:v>
      </x:c>
      <x:c r="K9" s="93" t="str">
        <x:f>IF($M9="","",INDEX('전체 WBS'!$E$1:$E$90,$N9))</x:f>
        <x:v>M3 홍은서 · M1 유용수
M2 윤서영 · M4 박진혁</x:v>
      </x:c>
      <x:c r="L9" s="100" t="str">
        <x:f>IF($M9="","",HYPERLINK(INDEX('전체 WBS'!$AW$1:$AW$90,$N9),"원문"))</x:f>
        <x:v>원문</x:v>
      </x:c>
      <x:c r="M9" s="4" t="n">
        <x:f>IF(2&lt;=COUNTIFS('전체 WBS'!$AR$10:$AV$90,"&lt;1000000000"),SMALL('전체 WBS'!$AR$10:$AV$90,2),"")</x:f>
        <x:v>146316016.0</x:v>
      </x:c>
      <x:c r="N9" s="4" t="n">
        <x:f>IF($M9="","",MOD($M9,1000))</x:f>
        <x:v>16.0</x:v>
      </x:c>
      <x:c r="O9" s="4" t="n">
        <x:f>IF($M9="","",INT($M9/100000000))</x:f>
        <x:v>1.0</x:v>
      </x:c>
    </x:row>
    <x:row r="10" ht="31" customHeight="1">
      <x:c r="A10" s="93" t="str">
        <x:f>IF($M10="","",INDEX('전체 WBS'!$AR$9:$AV$9,1,$O10))</x:f>
        <x:v>M1 유용수</x:v>
      </x:c>
      <x:c r="B10" s="93" t="str">
        <x:f>IF($M10="","",IF(ISNUMBER(SEARCH($A10,INDEX('전체 WBS'!$D$1:$D$90,$N10))),"주담당","협업"))</x:f>
        <x:v>주담당</x:v>
      </x:c>
      <x:c r="C10" s="93" t="str">
        <x:f>IF($M10="","",INDEX('전체 WBS'!$A$1:$A$90,$N10))</x:f>
        <x:v>I14</x:v>
      </x:c>
      <x:c r="D10" s="93" t="str">
        <x:f>IF($M10="","",INDEX('전체 WBS'!$B$1:$B$90,$N10))</x:f>
        <x:v>인프라</x:v>
      </x:c>
      <x:c r="E10" s="93" t="str">
        <x:f>IF($M10="","",INDEX('전체 WBS'!$C$1:$C$90,$N10))</x:f>
        <x:v>한국 본사 장비·기본 서비스 구성</x:v>
      </x:c>
      <x:c r="F10" s="94" t="str">
        <x:f>IF($M10="","",INDEX('전체 WBS'!$F$1:$F$90,$N10))</x:f>
        <x:v>46316</x:v>
      </x:c>
      <x:c r="G10" s="94" t="str">
        <x:f>IF($M10="","",INDEX('전체 WBS'!$G$1:$G$90,$N10))</x:f>
        <x:v>46323</x:v>
      </x:c>
      <x:c r="H10" s="95" t="str">
        <x:f>IF($M10="","",INDEX('전체 WBS'!$H$1:$H$90,$N10))</x:f>
        <x:v>미확인</x:v>
      </x:c>
      <x:c r="I10" s="93" t="str">
        <x:f>IF($M10="","",INDEX('전체 WBS'!$I$1:$I$90,$N10))</x:f>
        <x:v>I01, C6.1</x:v>
      </x:c>
      <x:c r="J10" s="93" t="str">
        <x:f>IF($M10="","",INDEX('전체 WBS'!$D$1:$D$90,$N10))</x:f>
        <x:v>M1 유용수</x:v>
      </x:c>
      <x:c r="K10" s="93" t="str">
        <x:f>IF($M10="","",INDEX('전체 WBS'!$E$1:$E$90,$N10))</x:f>
        <x:v>M2 윤서영</x:v>
      </x:c>
      <x:c r="L10" s="100" t="str">
        <x:f>IF($M10="","",HYPERLINK(INDEX('전체 WBS'!$AW$1:$AW$90,$N10),"원문"))</x:f>
        <x:v>원문</x:v>
      </x:c>
      <x:c r="M10" s="4" t="n">
        <x:f>IF(3&lt;=COUNTIFS('전체 WBS'!$AR$10:$AV$90,"&lt;1000000000"),SMALL('전체 WBS'!$AR$10:$AV$90,3),"")</x:f>
        <x:v>146316018.0</x:v>
      </x:c>
      <x:c r="N10" s="4" t="n">
        <x:f>IF($M10="","",MOD($M10,1000))</x:f>
        <x:v>18.0</x:v>
      </x:c>
      <x:c r="O10" s="4" t="n">
        <x:f>IF($M10="","",INT($M10/100000000))</x:f>
        <x:v>1.0</x:v>
      </x:c>
    </x:row>
    <x:row r="11" ht="31" customHeight="1">
      <x:c r="A11" s="93" t="str">
        <x:f>IF($M11="","",INDEX('전체 WBS'!$AR$9:$AV$9,1,$O11))</x:f>
        <x:v>M1 유용수</x:v>
      </x:c>
      <x:c r="B11" s="93" t="str">
        <x:f>IF($M11="","",IF(ISNUMBER(SEARCH($A11,INDEX('전체 WBS'!$D$1:$D$90,$N11))),"주담당","협업"))</x:f>
        <x:v>협업</x:v>
      </x:c>
      <x:c r="C11" s="93" t="str">
        <x:f>IF($M11="","",INDEX('전체 WBS'!$A$1:$A$90,$N11))</x:f>
        <x:v>I19</x:v>
      </x:c>
      <x:c r="D11" s="93" t="str">
        <x:f>IF($M11="","",INDEX('전체 WBS'!$B$1:$B$90,$N11))</x:f>
        <x:v>인프라</x:v>
      </x:c>
      <x:c r="E11" s="93" t="str">
        <x:f>IF($M11="","",INDEX('전체 WBS'!$C$1:$C$90,$N11))</x:f>
        <x:v>독일 장비·기본 서비스 구성</x:v>
      </x:c>
      <x:c r="F11" s="94" t="str">
        <x:f>IF($M11="","",INDEX('전체 WBS'!$F$1:$F$90,$N11))</x:f>
        <x:v>46316</x:v>
      </x:c>
      <x:c r="G11" s="94" t="str">
        <x:f>IF($M11="","",INDEX('전체 WBS'!$G$1:$G$90,$N11))</x:f>
        <x:v>46323</x:v>
      </x:c>
      <x:c r="H11" s="95" t="str">
        <x:f>IF($M11="","",INDEX('전체 WBS'!$H$1:$H$90,$N11))</x:f>
        <x:v>미확인</x:v>
      </x:c>
      <x:c r="I11" s="93" t="str">
        <x:f>IF($M11="","",INDEX('전체 WBS'!$I$1:$I$90,$N11))</x:f>
        <x:v>I02, C6.1</x:v>
      </x:c>
      <x:c r="J11" s="93" t="str">
        <x:f>IF($M11="","",INDEX('전체 WBS'!$D$1:$D$90,$N11))</x:f>
        <x:v>M2 윤서영</x:v>
      </x:c>
      <x:c r="K11" s="93" t="str">
        <x:f>IF($M11="","",INDEX('전체 WBS'!$E$1:$E$90,$N11))</x:f>
        <x:v>M1 유용수</x:v>
      </x:c>
      <x:c r="L11" s="100" t="str">
        <x:f>IF($M11="","",HYPERLINK(INDEX('전체 WBS'!$AW$1:$AW$90,$N11),"원문"))</x:f>
        <x:v>원문</x:v>
      </x:c>
      <x:c r="M11" s="4" t="n">
        <x:f>IF(4&lt;=COUNTIFS('전체 WBS'!$AR$10:$AV$90,"&lt;1000000000"),SMALL('전체 WBS'!$AR$10:$AV$90,4),"")</x:f>
        <x:v>146316019.0</x:v>
      </x:c>
      <x:c r="N11" s="4" t="n">
        <x:f>IF($M11="","",MOD($M11,1000))</x:f>
        <x:v>19.0</x:v>
      </x:c>
      <x:c r="O11" s="4" t="n">
        <x:f>IF($M11="","",INT($M11/100000000))</x:f>
        <x:v>1.0</x:v>
      </x:c>
    </x:row>
    <x:row r="12" ht="31" customHeight="1">
      <x:c r="A12" s="93" t="str">
        <x:f>IF($M12="","",INDEX('전체 WBS'!$AR$9:$AV$9,1,$O12))</x:f>
        <x:v>M1 유용수</x:v>
      </x:c>
      <x:c r="B12" s="93" t="str">
        <x:f>IF($M12="","",IF(ISNUMBER(SEARCH($A12,INDEX('전체 WBS'!$D$1:$D$90,$N12))),"주담당","협업"))</x:f>
        <x:v>협업</x:v>
      </x:c>
      <x:c r="C12" s="93" t="str">
        <x:f>IF($M12="","",INDEX('전체 WBS'!$A$1:$A$90,$N12))</x:f>
        <x:v>C12.1</x:v>
      </x:c>
      <x:c r="D12" s="93" t="str">
        <x:f>IF($M12="","",INDEX('전체 WBS'!$B$1:$B$90,$N12))</x:f>
        <x:v>공동·관리</x:v>
      </x:c>
      <x:c r="E12" s="93" t="str">
        <x:f>IF($M12="","",INDEX('전체 WBS'!$C$1:$C$90,$N12))</x:f>
        <x:v>AWS 권한·예산·API 연결 검토</x:v>
      </x:c>
      <x:c r="F12" s="94" t="str">
        <x:f>IF($M12="","",INDEX('전체 WBS'!$F$1:$F$90,$N12))</x:f>
        <x:v>46316</x:v>
      </x:c>
      <x:c r="G12" s="94" t="str">
        <x:f>IF($M12="","",INDEX('전체 WBS'!$G$1:$G$90,$N12))</x:f>
        <x:v>46318</x:v>
      </x:c>
      <x:c r="H12" s="95" t="str">
        <x:f>IF($M12="","",INDEX('전체 WBS'!$H$1:$H$90,$N12))</x:f>
        <x:v>미확인</x:v>
      </x:c>
      <x:c r="I12" s="93" t="str">
        <x:f>IF($M12="","",INDEX('전체 WBS'!$I$1:$I$90,$N12))</x:f>
        <x:v>C6.1</x:v>
      </x:c>
      <x:c r="J12" s="93" t="str">
        <x:f>IF($M12="","",INDEX('전체 WBS'!$D$1:$D$90,$N12))</x:f>
        <x:v>M5 유은혜(PM)</x:v>
      </x:c>
      <x:c r="K12" s="93" t="str">
        <x:f>IF($M12="","",INDEX('전체 WBS'!$E$1:$E$90,$N12))</x:f>
        <x:v>M1 유용수 · M3 홍은서
M4 박진혁</x:v>
      </x:c>
      <x:c r="L12" s="100" t="str">
        <x:f>IF($M12="","",HYPERLINK(INDEX('전체 WBS'!$AW$1:$AW$90,$N12),"원문"))</x:f>
        <x:v>원문</x:v>
      </x:c>
      <x:c r="M12" s="4" t="n">
        <x:f>IF(5&lt;=COUNTIFS('전체 WBS'!$AR$10:$AV$90,"&lt;1000000000"),SMALL('전체 WBS'!$AR$10:$AV$90,5),"")</x:f>
        <x:v>146316026.0</x:v>
      </x:c>
      <x:c r="N12" s="4" t="n">
        <x:f>IF($M12="","",MOD($M12,1000))</x:f>
        <x:v>26.0</x:v>
      </x:c>
      <x:c r="O12" s="4" t="n">
        <x:f>IF($M12="","",INT($M12/100000000))</x:f>
        <x:v>1.0</x:v>
      </x:c>
    </x:row>
    <x:row r="13" ht="31" customHeight="1">
      <x:c r="A13" s="93" t="str">
        <x:f>IF($M13="","",INDEX('전체 WBS'!$AR$9:$AV$9,1,$O13))</x:f>
        <x:v>M1 유용수</x:v>
      </x:c>
      <x:c r="B13" s="93" t="str">
        <x:f>IF($M13="","",IF(ISNUMBER(SEARCH($A13,INDEX('전체 WBS'!$D$1:$D$90,$N13))),"주담당","협업"))</x:f>
        <x:v>협업</x:v>
      </x:c>
      <x:c r="C13" s="93" t="str">
        <x:f>IF($M13="","",INDEX('전체 WBS'!$A$1:$A$90,$N13))</x:f>
        <x:v>D1</x:v>
      </x:c>
      <x:c r="D13" s="93" t="str">
        <x:f>IF($M13="","",INDEX('전체 WBS'!$B$1:$B$90,$N13))</x:f>
        <x:v>개발</x:v>
      </x:c>
      <x:c r="E13" s="93" t="str">
        <x:f>IF($M13="","",INDEX('전체 WBS'!$C$1:$C$90,$N13))</x:f>
        <x:v>실행 환경 정의·ERD·클래스 설계</x:v>
      </x:c>
      <x:c r="F13" s="94" t="str">
        <x:f>IF($M13="","",INDEX('전체 WBS'!$F$1:$F$90,$N13))</x:f>
        <x:v>46316</x:v>
      </x:c>
      <x:c r="G13" s="94" t="str">
        <x:f>IF($M13="","",INDEX('전체 WBS'!$G$1:$G$90,$N13))</x:f>
        <x:v>46318</x:v>
      </x:c>
      <x:c r="H13" s="95" t="str">
        <x:f>IF($M13="","",INDEX('전체 WBS'!$H$1:$H$90,$N13))</x:f>
        <x:v>미확인</x:v>
      </x:c>
      <x:c r="I13" s="93" t="str">
        <x:f>IF($M13="","",INDEX('전체 WBS'!$I$1:$I$90,$N13))</x:f>
        <x:v>—</x:v>
      </x:c>
      <x:c r="J13" s="93" t="str">
        <x:f>IF($M13="","",INDEX('전체 WBS'!$D$1:$D$90,$N13))</x:f>
        <x:v>M5 유은혜(PM)</x:v>
      </x:c>
      <x:c r="K13" s="93" t="str">
        <x:f>IF($M13="","",INDEX('전체 WBS'!$E$1:$E$90,$N13))</x:f>
        <x:v>M1 유용수 · M2 윤서영
M3 홍은서</x:v>
      </x:c>
      <x:c r="L13" s="100" t="str">
        <x:f>IF($M13="","",HYPERLINK(INDEX('전체 WBS'!$AW$1:$AW$90,$N13),"원문"))</x:f>
        <x:v>원문</x:v>
      </x:c>
      <x:c r="M13" s="4" t="n">
        <x:f>IF(6&lt;=COUNTIFS('전체 WBS'!$AR$10:$AV$90,"&lt;1000000000"),SMALL('전체 WBS'!$AR$10:$AV$90,6),"")</x:f>
        <x:v>146316030.0</x:v>
      </x:c>
      <x:c r="N13" s="4" t="n">
        <x:f>IF($M13="","",MOD($M13,1000))</x:f>
        <x:v>30.0</x:v>
      </x:c>
      <x:c r="O13" s="4" t="n">
        <x:f>IF($M13="","",INT($M13/100000000))</x:f>
        <x:v>1.0</x:v>
      </x:c>
    </x:row>
    <x:row r="14" ht="31" customHeight="1">
      <x:c r="A14" s="93" t="str">
        <x:f>IF($M14="","",INDEX('전체 WBS'!$AR$9:$AV$9,1,$O14))</x:f>
        <x:v>M1 유용수</x:v>
      </x:c>
      <x:c r="B14" s="93" t="str">
        <x:f>IF($M14="","",IF(ISNUMBER(SEARCH($A14,INDEX('전체 WBS'!$D$1:$D$90,$N14))),"주담당","협업"))</x:f>
        <x:v>주담당</x:v>
      </x:c>
      <x:c r="C14" s="93" t="str">
        <x:f>IF($M14="","",INDEX('전체 WBS'!$A$1:$A$90,$N14))</x:f>
        <x:v>C7</x:v>
      </x:c>
      <x:c r="D14" s="93" t="str">
        <x:f>IF($M14="","",INDEX('전체 WBS'!$B$1:$B$90,$N14))</x:f>
        <x:v>인프라</x:v>
      </x:c>
      <x:c r="E14" s="93" t="str">
        <x:f>IF($M14="","",INDEX('전체 WBS'!$C$1:$C$90,$N14))</x:f>
        <x:v>망 간 라우팅·VPN 구성 및 검증</x:v>
      </x:c>
      <x:c r="F14" s="94" t="str">
        <x:f>IF($M14="","",INDEX('전체 WBS'!$F$1:$F$90,$N14))</x:f>
        <x:v>46317</x:v>
      </x:c>
      <x:c r="G14" s="94" t="str">
        <x:f>IF($M14="","",INDEX('전체 WBS'!$G$1:$G$90,$N14))</x:f>
        <x:v>46323</x:v>
      </x:c>
      <x:c r="H14" s="95" t="str">
        <x:f>IF($M14="","",INDEX('전체 WBS'!$H$1:$H$90,$N14))</x:f>
        <x:v>미확인</x:v>
      </x:c>
      <x:c r="I14" s="93" t="str">
        <x:f>IF($M14="","",INDEX('전체 WBS'!$I$1:$I$90,$N14))</x:f>
        <x:v>C6.1, I14, I19, I24, I29, I34</x:v>
      </x:c>
      <x:c r="J14" s="93" t="str">
        <x:f>IF($M14="","",INDEX('전체 WBS'!$D$1:$D$90,$N14))</x:f>
        <x:v>M1 유용수</x:v>
      </x:c>
      <x:c r="K14" s="93" t="str">
        <x:f>IF($M14="","",INDEX('전체 WBS'!$E$1:$E$90,$N14))</x:f>
        <x:v>M2 윤서영 · M3 홍은서
M4 박진혁 · M5 유은혜</x:v>
      </x:c>
      <x:c r="L14" s="100" t="str">
        <x:f>IF($M14="","",HYPERLINK(INDEX('전체 WBS'!$AW$1:$AW$90,$N14),"원문"))</x:f>
        <x:v>원문</x:v>
      </x:c>
      <x:c r="M14" s="4" t="n">
        <x:f>IF(7&lt;=COUNTIFS('전체 WBS'!$AR$10:$AV$90,"&lt;1000000000"),SMALL('전체 WBS'!$AR$10:$AV$90,7),"")</x:f>
        <x:v>146317023.0</x:v>
      </x:c>
      <x:c r="N14" s="4" t="n">
        <x:f>IF($M14="","",MOD($M14,1000))</x:f>
        <x:v>23.0</x:v>
      </x:c>
      <x:c r="O14" s="4" t="n">
        <x:f>IF($M14="","",INT($M14/100000000))</x:f>
        <x:v>1.0</x:v>
      </x:c>
    </x:row>
    <x:row r="15" ht="31" customHeight="1">
      <x:c r="A15" s="93" t="str">
        <x:f>IF($M15="","",INDEX('전체 WBS'!$AR$9:$AV$9,1,$O15))</x:f>
        <x:v>M1 유용수</x:v>
      </x:c>
      <x:c r="B15" s="93" t="str">
        <x:f>IF($M15="","",IF(ISNUMBER(SEARCH($A15,INDEX('전체 WBS'!$D$1:$D$90,$N15))),"주담당","협업"))</x:f>
        <x:v>협업</x:v>
      </x:c>
      <x:c r="C15" s="93" t="str">
        <x:f>IF($M15="","",INDEX('전체 WBS'!$A$1:$A$90,$N15))</x:f>
        <x:v>D2</x:v>
      </x:c>
      <x:c r="D15" s="93" t="str">
        <x:f>IF($M15="","",INDEX('전체 WBS'!$B$1:$B$90,$N15))</x:f>
        <x:v>개발</x:v>
      </x:c>
      <x:c r="E15" s="93" t="str">
        <x:f>IF($M15="","",INDEX('전체 WBS'!$C$1:$C$90,$N15))</x:f>
        <x:v>한국·독일 공통 게시판 개발</x:v>
      </x:c>
      <x:c r="F15" s="94" t="str">
        <x:f>IF($M15="","",INDEX('전체 WBS'!$F$1:$F$90,$N15))</x:f>
        <x:v>46317</x:v>
      </x:c>
      <x:c r="G15" s="94" t="str">
        <x:f>IF($M15="","",INDEX('전체 WBS'!$G$1:$G$90,$N15))</x:f>
        <x:v>46318</x:v>
      </x:c>
      <x:c r="H15" s="95" t="str">
        <x:f>IF($M15="","",INDEX('전체 WBS'!$H$1:$H$90,$N15))</x:f>
        <x:v>미확인</x:v>
      </x:c>
      <x:c r="I15" s="93" t="str">
        <x:f>IF($M15="","",INDEX('전체 WBS'!$I$1:$I$90,$N15))</x:f>
        <x:v>D1</x:v>
      </x:c>
      <x:c r="J15" s="93" t="str">
        <x:f>IF($M15="","",INDEX('전체 WBS'!$D$1:$D$90,$N15))</x:f>
        <x:v>M5 유은혜(PM)</x:v>
      </x:c>
      <x:c r="K15" s="93" t="str">
        <x:f>IF($M15="","",INDEX('전체 WBS'!$E$1:$E$90,$N15))</x:f>
        <x:v>M1 유용수 · M2 윤서영</x:v>
      </x:c>
      <x:c r="L15" s="100" t="str">
        <x:f>IF($M15="","",HYPERLINK(INDEX('전체 WBS'!$AW$1:$AW$90,$N15),"원문"))</x:f>
        <x:v>원문</x:v>
      </x:c>
      <x:c r="M15" s="4" t="n">
        <x:f>IF(8&lt;=COUNTIFS('전체 WBS'!$AR$10:$AV$90,"&lt;1000000000"),SMALL('전체 WBS'!$AR$10:$AV$90,8),"")</x:f>
        <x:v>146317031.0</x:v>
      </x:c>
      <x:c r="N15" s="4" t="n">
        <x:f>IF($M15="","",MOD($M15,1000))</x:f>
        <x:v>31.0</x:v>
      </x:c>
      <x:c r="O15" s="4" t="n">
        <x:f>IF($M15="","",INT($M15/100000000))</x:f>
        <x:v>1.0</x:v>
      </x:c>
    </x:row>
    <x:row r="16" ht="31" customHeight="1">
      <x:c r="A16" s="93" t="str">
        <x:f>IF($M16="","",INDEX('전체 WBS'!$AR$9:$AV$9,1,$O16))</x:f>
        <x:v>M1 유용수</x:v>
      </x:c>
      <x:c r="B16" s="93" t="str">
        <x:f>IF($M16="","",IF(ISNUMBER(SEARCH($A16,INDEX('전체 WBS'!$D$1:$D$90,$N16))),"주담당","협업"))</x:f>
        <x:v>협업</x:v>
      </x:c>
      <x:c r="C16" s="93" t="str">
        <x:f>IF($M16="","",INDEX('전체 WBS'!$A$1:$A$90,$N16))</x:f>
        <x:v>C12.2</x:v>
      </x:c>
      <x:c r="D16" s="93" t="str">
        <x:f>IF($M16="","",INDEX('전체 WBS'!$B$1:$B$90,$N16))</x:f>
        <x:v>인프라</x:v>
      </x:c>
      <x:c r="E16" s="93" t="str">
        <x:f>IF($M16="","",INDEX('전체 WBS'!$C$1:$C$90,$N16))</x:f>
        <x:v>AWS 환경 구축·재구축 절차 작성</x:v>
      </x:c>
      <x:c r="F16" s="94" t="str">
        <x:f>IF($M16="","",INDEX('전체 WBS'!$F$1:$F$90,$N16))</x:f>
        <x:v>46321</x:v>
      </x:c>
      <x:c r="G16" s="94" t="str">
        <x:f>IF($M16="","",INDEX('전체 WBS'!$G$1:$G$90,$N16))</x:f>
        <x:v>46325</x:v>
      </x:c>
      <x:c r="H16" s="95" t="str">
        <x:f>IF($M16="","",INDEX('전체 WBS'!$H$1:$H$90,$N16))</x:f>
        <x:v>미확인</x:v>
      </x:c>
      <x:c r="I16" s="93" t="str">
        <x:f>IF($M16="","",INDEX('전체 WBS'!$I$1:$I$90,$N16))</x:f>
        <x:v>C12.1</x:v>
      </x:c>
      <x:c r="J16" s="93" t="str">
        <x:f>IF($M16="","",INDEX('전체 WBS'!$D$1:$D$90,$N16))</x:f>
        <x:v>M5 유은혜(PM)</x:v>
      </x:c>
      <x:c r="K16" s="93" t="str">
        <x:f>IF($M16="","",INDEX('전체 WBS'!$E$1:$E$90,$N16))</x:f>
        <x:v>M1 유용수 · M3 홍은서</x:v>
      </x:c>
      <x:c r="L16" s="100" t="str">
        <x:f>IF($M16="","",HYPERLINK(INDEX('전체 WBS'!$AW$1:$AW$90,$N16),"원문"))</x:f>
        <x:v>원문</x:v>
      </x:c>
      <x:c r="M16" s="4" t="n">
        <x:f>IF(9&lt;=COUNTIFS('전체 WBS'!$AR$10:$AV$90,"&lt;1000000000"),SMALL('전체 WBS'!$AR$10:$AV$90,9),"")</x:f>
        <x:v>146321027.0</x:v>
      </x:c>
      <x:c r="N16" s="4" t="n">
        <x:f>IF($M16="","",MOD($M16,1000))</x:f>
        <x:v>27.0</x:v>
      </x:c>
      <x:c r="O16" s="4" t="n">
        <x:f>IF($M16="","",INT($M16/100000000))</x:f>
        <x:v>1.0</x:v>
      </x:c>
    </x:row>
    <x:row r="17" ht="31" customHeight="1">
      <x:c r="A17" s="93" t="str">
        <x:f>IF($M17="","",INDEX('전체 WBS'!$AR$9:$AV$9,1,$O17))</x:f>
        <x:v>M1 유용수</x:v>
      </x:c>
      <x:c r="B17" s="93" t="str">
        <x:f>IF($M17="","",IF(ISNUMBER(SEARCH($A17,INDEX('전체 WBS'!$D$1:$D$90,$N17))),"주담당","협업"))</x:f>
        <x:v>주담당</x:v>
      </x:c>
      <x:c r="C17" s="93" t="str">
        <x:f>IF($M17="","",INDEX('전체 WBS'!$A$1:$A$90,$N17))</x:f>
        <x:v>D4.1</x:v>
      </x:c>
      <x:c r="D17" s="93" t="str">
        <x:f>IF($M17="","",INDEX('전체 WBS'!$B$1:$B$90,$N17))</x:f>
        <x:v>개발</x:v>
      </x:c>
      <x:c r="E17" s="93" t="str">
        <x:f>IF($M17="","",INDEX('전체 WBS'!$C$1:$C$90,$N17))</x:f>
        <x:v>한국 게시판 서버 배포</x:v>
      </x:c>
      <x:c r="F17" s="94" t="str">
        <x:f>IF($M17="","",INDEX('전체 WBS'!$F$1:$F$90,$N17))</x:f>
        <x:v>46324</x:v>
      </x:c>
      <x:c r="G17" s="94" t="str">
        <x:f>IF($M17="","",INDEX('전체 WBS'!$G$1:$G$90,$N17))</x:f>
        <x:v>46325</x:v>
      </x:c>
      <x:c r="H17" s="95" t="str">
        <x:f>IF($M17="","",INDEX('전체 WBS'!$H$1:$H$90,$N17))</x:f>
        <x:v>미확인</x:v>
      </x:c>
      <x:c r="I17" s="93" t="str">
        <x:f>IF($M17="","",INDEX('전체 WBS'!$I$1:$I$90,$N17))</x:f>
        <x:v>D2, I14, C7</x:v>
      </x:c>
      <x:c r="J17" s="93" t="str">
        <x:f>IF($M17="","",INDEX('전체 WBS'!$D$1:$D$90,$N17))</x:f>
        <x:v>M1 유용수</x:v>
      </x:c>
      <x:c r="K17" s="93" t="str">
        <x:f>IF($M17="","",INDEX('전체 WBS'!$E$1:$E$90,$N17))</x:f>
        <x:v>M5 유은혜</x:v>
      </x:c>
      <x:c r="L17" s="100" t="str">
        <x:f>IF($M17="","",HYPERLINK(INDEX('전체 WBS'!$AW$1:$AW$90,$N17),"원문"))</x:f>
        <x:v>원문</x:v>
      </x:c>
      <x:c r="M17" s="4" t="n">
        <x:f>IF(10&lt;=COUNTIFS('전체 WBS'!$AR$10:$AV$90,"&lt;1000000000"),SMALL('전체 WBS'!$AR$10:$AV$90,10),"")</x:f>
        <x:v>146324033.0</x:v>
      </x:c>
      <x:c r="N17" s="4" t="n">
        <x:f>IF($M17="","",MOD($M17,1000))</x:f>
        <x:v>33.0</x:v>
      </x:c>
      <x:c r="O17" s="4" t="n">
        <x:f>IF($M17="","",INT($M17/100000000))</x:f>
        <x:v>1.0</x:v>
      </x:c>
    </x:row>
    <x:row r="18" ht="31" customHeight="1">
      <x:c r="A18" s="93" t="str">
        <x:f>IF($M18="","",INDEX('전체 WBS'!$AR$9:$AV$9,1,$O18))</x:f>
        <x:v>M1 유용수</x:v>
      </x:c>
      <x:c r="B18" s="93" t="str">
        <x:f>IF($M18="","",IF(ISNUMBER(SEARCH($A18,INDEX('전체 WBS'!$D$1:$D$90,$N18))),"주담당","협업"))</x:f>
        <x:v>주담당</x:v>
      </x:c>
      <x:c r="C18" s="93" t="str">
        <x:f>IF($M18="","",INDEX('전체 WBS'!$A$1:$A$90,$N18))</x:f>
        <x:v>I15</x:v>
      </x:c>
      <x:c r="D18" s="93" t="str">
        <x:f>IF($M18="","",INDEX('전체 WBS'!$B$1:$B$90,$N18))</x:f>
        <x:v>보안·검증</x:v>
      </x:c>
      <x:c r="E18" s="93" t="str">
        <x:f>IF($M18="","",INDEX('전체 WBS'!$C$1:$C$90,$N18))</x:f>
        <x:v>S01 공격 재현·원인 분석</x:v>
      </x:c>
      <x:c r="F18" s="94" t="str">
        <x:f>IF($M18="","",INDEX('전체 WBS'!$F$1:$F$90,$N18))</x:f>
        <x:v>46324</x:v>
      </x:c>
      <x:c r="G18" s="94" t="str">
        <x:f>IF($M18="","",INDEX('전체 WBS'!$G$1:$G$90,$N18))</x:f>
        <x:v>46325</x:v>
      </x:c>
      <x:c r="H18" s="95" t="str">
        <x:f>IF($M18="","",INDEX('전체 WBS'!$H$1:$H$90,$N18))</x:f>
        <x:v>미확인</x:v>
      </x:c>
      <x:c r="I18" s="93" t="str">
        <x:f>IF($M18="","",INDEX('전체 WBS'!$I$1:$I$90,$N18))</x:f>
        <x:v>I14</x:v>
      </x:c>
      <x:c r="J18" s="93" t="str">
        <x:f>IF($M18="","",INDEX('전체 WBS'!$D$1:$D$90,$N18))</x:f>
        <x:v>M1 유용수</x:v>
      </x:c>
      <x:c r="K18" s="93" t="str">
        <x:f>IF($M18="","",INDEX('전체 WBS'!$E$1:$E$90,$N18))</x:f>
        <x:v>—</x:v>
      </x:c>
      <x:c r="L18" s="100" t="str">
        <x:f>IF($M18="","",HYPERLINK(INDEX('전체 WBS'!$AW$1:$AW$90,$N18),"원문"))</x:f>
        <x:v>원문</x:v>
      </x:c>
      <x:c r="M18" s="4" t="n">
        <x:f>IF(11&lt;=COUNTIFS('전체 WBS'!$AR$10:$AV$90,"&lt;1000000000"),SMALL('전체 WBS'!$AR$10:$AV$90,11),"")</x:f>
        <x:v>146324046.0</x:v>
      </x:c>
      <x:c r="N18" s="4" t="n">
        <x:f>IF($M18="","",MOD($M18,1000))</x:f>
        <x:v>46.0</x:v>
      </x:c>
      <x:c r="O18" s="4" t="n">
        <x:f>IF($M18="","",INT($M18/100000000))</x:f>
        <x:v>1.0</x:v>
      </x:c>
    </x:row>
    <x:row r="19" ht="31" customHeight="1">
      <x:c r="A19" s="93" t="str">
        <x:f>IF($M19="","",INDEX('전체 WBS'!$AR$9:$AV$9,1,$O19))</x:f>
        <x:v>M1 유용수</x:v>
      </x:c>
      <x:c r="B19" s="93" t="str">
        <x:f>IF($M19="","",IF(ISNUMBER(SEARCH($A19,INDEX('전체 WBS'!$D$1:$D$90,$N19))),"주담당","협업"))</x:f>
        <x:v>협업</x:v>
      </x:c>
      <x:c r="C19" s="93" t="str">
        <x:f>IF($M19="","",INDEX('전체 WBS'!$A$1:$A$90,$N19))</x:f>
        <x:v>I20</x:v>
      </x:c>
      <x:c r="D19" s="93" t="str">
        <x:f>IF($M19="","",INDEX('전체 WBS'!$B$1:$B$90,$N19))</x:f>
        <x:v>보안·검증</x:v>
      </x:c>
      <x:c r="E19" s="93" t="str">
        <x:f>IF($M19="","",INDEX('전체 WBS'!$C$1:$C$90,$N19))</x:f>
        <x:v>S02 공격 재현·원인 분석</x:v>
      </x:c>
      <x:c r="F19" s="94" t="str">
        <x:f>IF($M19="","",INDEX('전체 WBS'!$F$1:$F$90,$N19))</x:f>
        <x:v>46324</x:v>
      </x:c>
      <x:c r="G19" s="94" t="str">
        <x:f>IF($M19="","",INDEX('전체 WBS'!$G$1:$G$90,$N19))</x:f>
        <x:v>46325</x:v>
      </x:c>
      <x:c r="H19" s="95" t="str">
        <x:f>IF($M19="","",INDEX('전체 WBS'!$H$1:$H$90,$N19))</x:f>
        <x:v>미확인</x:v>
      </x:c>
      <x:c r="I19" s="93" t="str">
        <x:f>IF($M19="","",INDEX('전체 WBS'!$I$1:$I$90,$N19))</x:f>
        <x:v>I19</x:v>
      </x:c>
      <x:c r="J19" s="93" t="str">
        <x:f>IF($M19="","",INDEX('전체 WBS'!$D$1:$D$90,$N19))</x:f>
        <x:v>M2 윤서영</x:v>
      </x:c>
      <x:c r="K19" s="93" t="str">
        <x:f>IF($M19="","",INDEX('전체 WBS'!$E$1:$E$90,$N19))</x:f>
        <x:v>M1 유용수</x:v>
      </x:c>
      <x:c r="L19" s="100" t="str">
        <x:f>IF($M19="","",HYPERLINK(INDEX('전체 WBS'!$AW$1:$AW$90,$N19),"원문"))</x:f>
        <x:v>원문</x:v>
      </x:c>
      <x:c r="M19" s="4" t="n">
        <x:f>IF(12&lt;=COUNTIFS('전체 WBS'!$AR$10:$AV$90,"&lt;1000000000"),SMALL('전체 WBS'!$AR$10:$AV$90,12),"")</x:f>
        <x:v>146324047.0</x:v>
      </x:c>
      <x:c r="N19" s="4" t="n">
        <x:f>IF($M19="","",MOD($M19,1000))</x:f>
        <x:v>47.0</x:v>
      </x:c>
      <x:c r="O19" s="4" t="n">
        <x:f>IF($M19="","",INT($M19/100000000))</x:f>
        <x:v>1.0</x:v>
      </x:c>
    </x:row>
    <x:row r="20" ht="31" customHeight="1">
      <x:c r="A20" s="93" t="str">
        <x:f>IF($M20="","",INDEX('전체 WBS'!$AR$9:$AV$9,1,$O20))</x:f>
        <x:v>M1 유용수</x:v>
      </x:c>
      <x:c r="B20" s="93" t="str">
        <x:f>IF($M20="","",IF(ISNUMBER(SEARCH($A20,INDEX('전체 WBS'!$D$1:$D$90,$N20))),"주담당","협업"))</x:f>
        <x:v>협업</x:v>
      </x:c>
      <x:c r="C20" s="93" t="str">
        <x:f>IF($M20="","",INDEX('전체 WBS'!$A$1:$A$90,$N20))</x:f>
        <x:v>D5.2</x:v>
      </x:c>
      <x:c r="D20" s="93" t="str">
        <x:f>IF($M20="","",INDEX('전체 WBS'!$B$1:$B$90,$N20))</x:f>
        <x:v>개발</x:v>
      </x:c>
      <x:c r="E20" s="93" t="str">
        <x:f>IF($M20="","",INDEX('전체 WBS'!$C$1:$C$90,$N20))</x:f>
        <x:v>Store AWS 배포·서비스 연동</x:v>
      </x:c>
      <x:c r="F20" s="94" t="str">
        <x:f>IF($M20="","",INDEX('전체 WBS'!$F$1:$F$90,$N20))</x:f>
        <x:v>46326</x:v>
      </x:c>
      <x:c r="G20" s="94" t="str">
        <x:f>IF($M20="","",INDEX('전체 WBS'!$G$1:$G$90,$N20))</x:f>
        <x:v>46326</x:v>
      </x:c>
      <x:c r="H20" s="95" t="str">
        <x:f>IF($M20="","",INDEX('전체 WBS'!$H$1:$H$90,$N20))</x:f>
        <x:v>미확인</x:v>
      </x:c>
      <x:c r="I20" s="93" t="str">
        <x:f>IF($M20="","",INDEX('전체 WBS'!$I$1:$I$90,$N20))</x:f>
        <x:v>D5.1, C12.2</x:v>
      </x:c>
      <x:c r="J20" s="93" t="str">
        <x:f>IF($M20="","",INDEX('전체 WBS'!$D$1:$D$90,$N20))</x:f>
        <x:v>M5 유은혜(PM)</x:v>
      </x:c>
      <x:c r="K20" s="93" t="str">
        <x:f>IF($M20="","",INDEX('전체 WBS'!$E$1:$E$90,$N20))</x:f>
        <x:v>M3 홍은서 · M1 유용수</x:v>
      </x:c>
      <x:c r="L20" s="100" t="str">
        <x:f>IF($M20="","",HYPERLINK(INDEX('전체 WBS'!$AW$1:$AW$90,$N20),"원문"))</x:f>
        <x:v>원문</x:v>
      </x:c>
      <x:c r="M20" s="4" t="n">
        <x:f>IF(13&lt;=COUNTIFS('전체 WBS'!$AR$10:$AV$90,"&lt;1000000000"),SMALL('전체 WBS'!$AR$10:$AV$90,13),"")</x:f>
        <x:v>146326037.0</x:v>
      </x:c>
      <x:c r="N20" s="4" t="n">
        <x:f>IF($M20="","",MOD($M20,1000))</x:f>
        <x:v>37.0</x:v>
      </x:c>
      <x:c r="O20" s="4" t="n">
        <x:f>IF($M20="","",INT($M20/100000000))</x:f>
        <x:v>1.0</x:v>
      </x:c>
    </x:row>
    <x:row r="21" ht="31" customHeight="1">
      <x:c r="A21" s="93" t="str">
        <x:f>IF($M21="","",INDEX('전체 WBS'!$AR$9:$AV$9,1,$O21))</x:f>
        <x:v>M1 유용수</x:v>
      </x:c>
      <x:c r="B21" s="93" t="str">
        <x:f>IF($M21="","",IF(ISNUMBER(SEARCH($A21,INDEX('전체 WBS'!$D$1:$D$90,$N21))),"주담당","협업"))</x:f>
        <x:v>협업</x:v>
      </x:c>
      <x:c r="C21" s="93" t="str">
        <x:f>IF($M21="","",INDEX('전체 WBS'!$A$1:$A$90,$N21))</x:f>
        <x:v>I25</x:v>
      </x:c>
      <x:c r="D21" s="93" t="str">
        <x:f>IF($M21="","",INDEX('전체 WBS'!$B$1:$B$90,$N21))</x:f>
        <x:v>보안·검증</x:v>
      </x:c>
      <x:c r="E21" s="93" t="str">
        <x:f>IF($M21="","",INDEX('전체 WBS'!$C$1:$C$90,$N21))</x:f>
        <x:v>S03 공격 재현·원인 분석</x:v>
      </x:c>
      <x:c r="F21" s="94" t="str">
        <x:f>IF($M21="","",INDEX('전체 WBS'!$F$1:$F$90,$N21))</x:f>
        <x:v>46328</x:v>
      </x:c>
      <x:c r="G21" s="94" t="str">
        <x:f>IF($M21="","",INDEX('전체 WBS'!$G$1:$G$90,$N21))</x:f>
        <x:v>46328</x:v>
      </x:c>
      <x:c r="H21" s="95" t="str">
        <x:f>IF($M21="","",INDEX('전체 WBS'!$H$1:$H$90,$N21))</x:f>
        <x:v>미확인</x:v>
      </x:c>
      <x:c r="I21" s="93" t="str">
        <x:f>IF($M21="","",INDEX('전체 WBS'!$I$1:$I$90,$N21))</x:f>
        <x:v>I24, I14, C7, D4.3</x:v>
      </x:c>
      <x:c r="J21" s="93" t="str">
        <x:f>IF($M21="","",INDEX('전체 WBS'!$D$1:$D$90,$N21))</x:f>
        <x:v>M3 홍은서(PL)</x:v>
      </x:c>
      <x:c r="K21" s="93" t="str">
        <x:f>IF($M21="","",INDEX('전체 WBS'!$E$1:$E$90,$N21))</x:f>
        <x:v>M1 유용수</x:v>
      </x:c>
      <x:c r="L21" s="100" t="str">
        <x:f>IF($M21="","",HYPERLINK(INDEX('전체 WBS'!$AW$1:$AW$90,$N21),"원문"))</x:f>
        <x:v>원문</x:v>
      </x:c>
      <x:c r="M21" s="4" t="n">
        <x:f>IF(14&lt;=COUNTIFS('전체 WBS'!$AR$10:$AV$90,"&lt;1000000000"),SMALL('전체 WBS'!$AR$10:$AV$90,14),"")</x:f>
        <x:v>146328048.0</x:v>
      </x:c>
      <x:c r="N21" s="4" t="n">
        <x:f>IF($M21="","",MOD($M21,1000))</x:f>
        <x:v>48.0</x:v>
      </x:c>
      <x:c r="O21" s="4" t="n">
        <x:f>IF($M21="","",INT($M21/100000000))</x:f>
        <x:v>1.0</x:v>
      </x:c>
    </x:row>
    <x:row r="22" ht="31" customHeight="1">
      <x:c r="A22" s="93" t="str">
        <x:f>IF($M22="","",INDEX('전체 WBS'!$AR$9:$AV$9,1,$O22))</x:f>
        <x:v>M1 유용수</x:v>
      </x:c>
      <x:c r="B22" s="93" t="str">
        <x:f>IF($M22="","",IF(ISNUMBER(SEARCH($A22,INDEX('전체 WBS'!$D$1:$D$90,$N22))),"주담당","협업"))</x:f>
        <x:v>협업</x:v>
      </x:c>
      <x:c r="C22" s="93" t="str">
        <x:f>IF($M22="","",INDEX('전체 WBS'!$A$1:$A$90,$N22))</x:f>
        <x:v>I35</x:v>
      </x:c>
      <x:c r="D22" s="93" t="str">
        <x:f>IF($M22="","",INDEX('전체 WBS'!$B$1:$B$90,$N22))</x:f>
        <x:v>보안·검증</x:v>
      </x:c>
      <x:c r="E22" s="93" t="str">
        <x:f>IF($M22="","",INDEX('전체 WBS'!$C$1:$C$90,$N22))</x:f>
        <x:v>S05 공격 재현·원인 분석</x:v>
      </x:c>
      <x:c r="F22" s="94" t="str">
        <x:f>IF($M22="","",INDEX('전체 WBS'!$F$1:$F$90,$N22))</x:f>
        <x:v>46328</x:v>
      </x:c>
      <x:c r="G22" s="94" t="str">
        <x:f>IF($M22="","",INDEX('전체 WBS'!$G$1:$G$90,$N22))</x:f>
        <x:v>46328</x:v>
      </x:c>
      <x:c r="H22" s="95" t="str">
        <x:f>IF($M22="","",INDEX('전체 WBS'!$H$1:$H$90,$N22))</x:f>
        <x:v>미확인</x:v>
      </x:c>
      <x:c r="I22" s="93" t="str">
        <x:f>IF($M22="","",INDEX('전체 WBS'!$I$1:$I$90,$N22))</x:f>
        <x:v>I34, I24, C7</x:v>
      </x:c>
      <x:c r="J22" s="93" t="str">
        <x:f>IF($M22="","",INDEX('전체 WBS'!$D$1:$D$90,$N22))</x:f>
        <x:v>M5 유은혜(PM)</x:v>
      </x:c>
      <x:c r="K22" s="93" t="str">
        <x:f>IF($M22="","",INDEX('전체 WBS'!$E$1:$E$90,$N22))</x:f>
        <x:v>M1 유용수 · M3 홍은서</x:v>
      </x:c>
      <x:c r="L22" s="100" t="str">
        <x:f>IF($M22="","",HYPERLINK(INDEX('전체 WBS'!$AW$1:$AW$90,$N22),"원문"))</x:f>
        <x:v>원문</x:v>
      </x:c>
      <x:c r="M22" s="4" t="n">
        <x:f>IF(15&lt;=COUNTIFS('전체 WBS'!$AR$10:$AV$90,"&lt;1000000000"),SMALL('전체 WBS'!$AR$10:$AV$90,15),"")</x:f>
        <x:v>146328050.0</x:v>
      </x:c>
      <x:c r="N22" s="4" t="n">
        <x:f>IF($M22="","",MOD($M22,1000))</x:f>
        <x:v>50.0</x:v>
      </x:c>
      <x:c r="O22" s="4" t="n">
        <x:f>IF($M22="","",INT($M22/100000000))</x:f>
        <x:v>1.0</x:v>
      </x:c>
    </x:row>
    <x:row r="23" ht="31" customHeight="1">
      <x:c r="A23" s="93" t="str">
        <x:f>IF($M23="","",INDEX('전체 WBS'!$AR$9:$AV$9,1,$O23))</x:f>
        <x:v>M1 유용수</x:v>
      </x:c>
      <x:c r="B23" s="93" t="str">
        <x:f>IF($M23="","",IF(ISNUMBER(SEARCH($A23,INDEX('전체 WBS'!$D$1:$D$90,$N23))),"주담당","협업"))</x:f>
        <x:v>주담당</x:v>
      </x:c>
      <x:c r="C23" s="93" t="str">
        <x:f>IF($M23="","",INDEX('전체 WBS'!$A$1:$A$90,$N23))</x:f>
        <x:v>I16.1</x:v>
      </x:c>
      <x:c r="D23" s="93" t="str">
        <x:f>IF($M23="","",INDEX('전체 WBS'!$B$1:$B$90,$N23))</x:f>
        <x:v>보안·검증</x:v>
      </x:c>
      <x:c r="E23" s="93" t="str">
        <x:f>IF($M23="","",INDEX('전체 WBS'!$C$1:$C$90,$N23))</x:f>
        <x:v>M1 TO-BE 토폴로지·보안 정책 설계</x:v>
      </x:c>
      <x:c r="F23" s="94" t="str">
        <x:f>IF($M23="","",INDEX('전체 WBS'!$F$1:$F$90,$N23))</x:f>
        <x:v>46329</x:v>
      </x:c>
      <x:c r="G23" s="94" t="str">
        <x:f>IF($M23="","",INDEX('전체 WBS'!$G$1:$G$90,$N23))</x:f>
        <x:v>46329</x:v>
      </x:c>
      <x:c r="H23" s="95" t="str">
        <x:f>IF($M23="","",INDEX('전체 WBS'!$H$1:$H$90,$N23))</x:f>
        <x:v>미확인</x:v>
      </x:c>
      <x:c r="I23" s="93" t="str">
        <x:f>IF($M23="","",INDEX('전체 WBS'!$I$1:$I$90,$N23))</x:f>
        <x:v>I15</x:v>
      </x:c>
      <x:c r="J23" s="93" t="str">
        <x:f>IF($M23="","",INDEX('전체 WBS'!$D$1:$D$90,$N23))</x:f>
        <x:v>M1 유용수</x:v>
      </x:c>
      <x:c r="K23" s="93" t="str">
        <x:f>IF($M23="","",INDEX('전체 WBS'!$E$1:$E$90,$N23))</x:f>
        <x:v>M3 홍은서</x:v>
      </x:c>
      <x:c r="L23" s="100" t="str">
        <x:f>IF($M23="","",HYPERLINK(INDEX('전체 WBS'!$AW$1:$AW$90,$N23),"원문"))</x:f>
        <x:v>원문</x:v>
      </x:c>
      <x:c r="M23" s="4" t="n">
        <x:f>IF(16&lt;=COUNTIFS('전체 WBS'!$AR$10:$AV$90,"&lt;1000000000"),SMALL('전체 WBS'!$AR$10:$AV$90,16),"")</x:f>
        <x:v>146329053.0</x:v>
      </x:c>
      <x:c r="N23" s="4" t="n">
        <x:f>IF($M23="","",MOD($M23,1000))</x:f>
        <x:v>53.0</x:v>
      </x:c>
      <x:c r="O23" s="4" t="n">
        <x:f>IF($M23="","",INT($M23/100000000))</x:f>
        <x:v>1.0</x:v>
      </x:c>
    </x:row>
    <x:row r="24" ht="31" customHeight="1">
      <x:c r="A24" s="93" t="str">
        <x:f>IF($M24="","",INDEX('전체 WBS'!$AR$9:$AV$9,1,$O24))</x:f>
        <x:v>M1 유용수</x:v>
      </x:c>
      <x:c r="B24" s="93" t="str">
        <x:f>IF($M24="","",IF(ISNUMBER(SEARCH($A24,INDEX('전체 WBS'!$D$1:$D$90,$N24))),"주담당","협업"))</x:f>
        <x:v>협업</x:v>
      </x:c>
      <x:c r="C24" s="93" t="str">
        <x:f>IF($M24="","",INDEX('전체 WBS'!$A$1:$A$90,$N24))</x:f>
        <x:v>I21.1</x:v>
      </x:c>
      <x:c r="D24" s="93" t="str">
        <x:f>IF($M24="","",INDEX('전체 WBS'!$B$1:$B$90,$N24))</x:f>
        <x:v>보안·검증</x:v>
      </x:c>
      <x:c r="E24" s="93" t="str">
        <x:f>IF($M24="","",INDEX('전체 WBS'!$C$1:$C$90,$N24))</x:f>
        <x:v>M2 TO-BE 토폴로지·보안 정책 설계</x:v>
      </x:c>
      <x:c r="F24" s="94" t="str">
        <x:f>IF($M24="","",INDEX('전체 WBS'!$F$1:$F$90,$N24))</x:f>
        <x:v>46329</x:v>
      </x:c>
      <x:c r="G24" s="94" t="str">
        <x:f>IF($M24="","",INDEX('전체 WBS'!$G$1:$G$90,$N24))</x:f>
        <x:v>46329</x:v>
      </x:c>
      <x:c r="H24" s="95" t="str">
        <x:f>IF($M24="","",INDEX('전체 WBS'!$H$1:$H$90,$N24))</x:f>
        <x:v>미확인</x:v>
      </x:c>
      <x:c r="I24" s="93" t="str">
        <x:f>IF($M24="","",INDEX('전체 WBS'!$I$1:$I$90,$N24))</x:f>
        <x:v>I20</x:v>
      </x:c>
      <x:c r="J24" s="93" t="str">
        <x:f>IF($M24="","",INDEX('전체 WBS'!$D$1:$D$90,$N24))</x:f>
        <x:v>M2 윤서영</x:v>
      </x:c>
      <x:c r="K24" s="93" t="str">
        <x:f>IF($M24="","",INDEX('전체 WBS'!$E$1:$E$90,$N24))</x:f>
        <x:v>M1 유용수 · M3 홍은서</x:v>
      </x:c>
      <x:c r="L24" s="100" t="str">
        <x:f>IF($M24="","",HYPERLINK(INDEX('전체 WBS'!$AW$1:$AW$90,$N24),"원문"))</x:f>
        <x:v>원문</x:v>
      </x:c>
      <x:c r="M24" s="4" t="n">
        <x:f>IF(17&lt;=COUNTIFS('전체 WBS'!$AR$10:$AV$90,"&lt;1000000000"),SMALL('전체 WBS'!$AR$10:$AV$90,17),"")</x:f>
        <x:v>146329054.0</x:v>
      </x:c>
      <x:c r="N24" s="4" t="n">
        <x:f>IF($M24="","",MOD($M24,1000))</x:f>
        <x:v>54.0</x:v>
      </x:c>
      <x:c r="O24" s="4" t="n">
        <x:f>IF($M24="","",INT($M24/100000000))</x:f>
        <x:v>1.0</x:v>
      </x:c>
    </x:row>
    <x:row r="25" ht="31" customHeight="1">
      <x:c r="A25" s="93" t="str">
        <x:f>IF($M25="","",INDEX('전체 WBS'!$AR$9:$AV$9,1,$O25))</x:f>
        <x:v>M1 유용수</x:v>
      </x:c>
      <x:c r="B25" s="93" t="str">
        <x:f>IF($M25="","",IF(ISNUMBER(SEARCH($A25,INDEX('전체 WBS'!$D$1:$D$90,$N25))),"주담당","협업"))</x:f>
        <x:v>주담당</x:v>
      </x:c>
      <x:c r="C25" s="93" t="str">
        <x:f>IF($M25="","",INDEX('전체 WBS'!$A$1:$A$90,$N25))</x:f>
        <x:v>I16.2</x:v>
      </x:c>
      <x:c r="D25" s="93" t="str">
        <x:f>IF($M25="","",INDEX('전체 WBS'!$B$1:$B$90,$N25))</x:f>
        <x:v>보안·검증</x:v>
      </x:c>
      <x:c r="E25" s="93" t="str">
        <x:f>IF($M25="","",INDEX('전체 WBS'!$C$1:$C$90,$N25))</x:f>
        <x:v>직원망 SSH 차단·관리망 접근 허용</x:v>
      </x:c>
      <x:c r="F25" s="94" t="str">
        <x:f>IF($M25="","",INDEX('전체 WBS'!$F$1:$F$90,$N25))</x:f>
        <x:v>46330</x:v>
      </x:c>
      <x:c r="G25" s="94" t="str">
        <x:f>IF($M25="","",INDEX('전체 WBS'!$G$1:$G$90,$N25))</x:f>
        <x:v>46331</x:v>
      </x:c>
      <x:c r="H25" s="95" t="str">
        <x:f>IF($M25="","",INDEX('전체 WBS'!$H$1:$H$90,$N25))</x:f>
        <x:v>미확인</x:v>
      </x:c>
      <x:c r="I25" s="93" t="str">
        <x:f>IF($M25="","",INDEX('전체 WBS'!$I$1:$I$90,$N25))</x:f>
        <x:v>I16.1</x:v>
      </x:c>
      <x:c r="J25" s="93" t="str">
        <x:f>IF($M25="","",INDEX('전체 WBS'!$D$1:$D$90,$N25))</x:f>
        <x:v>M1 유용수</x:v>
      </x:c>
      <x:c r="K25" s="93" t="str">
        <x:f>IF($M25="","",INDEX('전체 WBS'!$E$1:$E$90,$N25))</x:f>
        <x:v>—</x:v>
      </x:c>
      <x:c r="L25" s="100" t="str">
        <x:f>IF($M25="","",HYPERLINK(INDEX('전체 WBS'!$AW$1:$AW$90,$N25),"원문"))</x:f>
        <x:v>원문</x:v>
      </x:c>
      <x:c r="M25" s="4" t="n">
        <x:f>IF(18&lt;=COUNTIFS('전체 WBS'!$AR$10:$AV$90,"&lt;1000000000"),SMALL('전체 WBS'!$AR$10:$AV$90,18),"")</x:f>
        <x:v>146330059.0</x:v>
      </x:c>
      <x:c r="N25" s="4" t="n">
        <x:f>IF($M25="","",MOD($M25,1000))</x:f>
        <x:v>59.0</x:v>
      </x:c>
      <x:c r="O25" s="4" t="n">
        <x:f>IF($M25="","",INT($M25/100000000))</x:f>
        <x:v>1.0</x:v>
      </x:c>
    </x:row>
    <x:row r="26" ht="31" customHeight="1">
      <x:c r="A26" s="93" t="str">
        <x:f>IF($M26="","",INDEX('전체 WBS'!$AR$9:$AV$9,1,$O26))</x:f>
        <x:v>M1 유용수</x:v>
      </x:c>
      <x:c r="B26" s="93" t="str">
        <x:f>IF($M26="","",IF(ISNUMBER(SEARCH($A26,INDEX('전체 WBS'!$D$1:$D$90,$N26))),"주담당","협업"))</x:f>
        <x:v>협업</x:v>
      </x:c>
      <x:c r="C26" s="93" t="str">
        <x:f>IF($M26="","",INDEX('전체 WBS'!$A$1:$A$90,$N26))</x:f>
        <x:v>I21.2</x:v>
      </x:c>
      <x:c r="D26" s="93" t="str">
        <x:f>IF($M26="","",INDEX('전체 WBS'!$B$1:$B$90,$N26))</x:f>
        <x:v>보안·검증</x:v>
      </x:c>
      <x:c r="E26" s="93" t="str">
        <x:f>IF($M26="","",INDEX('전체 WBS'!$C$1:$C$90,$N26))</x:f>
        <x:v>독일 Wazuh 구축·대응 정책 적용</x:v>
      </x:c>
      <x:c r="F26" s="94" t="str">
        <x:f>IF($M26="","",INDEX('전체 WBS'!$F$1:$F$90,$N26))</x:f>
        <x:v>46330</x:v>
      </x:c>
      <x:c r="G26" s="94" t="str">
        <x:f>IF($M26="","",INDEX('전체 WBS'!$G$1:$G$90,$N26))</x:f>
        <x:v>46331</x:v>
      </x:c>
      <x:c r="H26" s="95" t="str">
        <x:f>IF($M26="","",INDEX('전체 WBS'!$H$1:$H$90,$N26))</x:f>
        <x:v>미확인</x:v>
      </x:c>
      <x:c r="I26" s="93" t="str">
        <x:f>IF($M26="","",INDEX('전체 WBS'!$I$1:$I$90,$N26))</x:f>
        <x:v>I21.1</x:v>
      </x:c>
      <x:c r="J26" s="93" t="str">
        <x:f>IF($M26="","",INDEX('전체 WBS'!$D$1:$D$90,$N26))</x:f>
        <x:v>M2 윤서영</x:v>
      </x:c>
      <x:c r="K26" s="93" t="str">
        <x:f>IF($M26="","",INDEX('전체 WBS'!$E$1:$E$90,$N26))</x:f>
        <x:v>M1 유용수</x:v>
      </x:c>
      <x:c r="L26" s="100" t="str">
        <x:f>IF($M26="","",HYPERLINK(INDEX('전체 WBS'!$AW$1:$AW$90,$N26),"원문"))</x:f>
        <x:v>원문</x:v>
      </x:c>
      <x:c r="M26" s="4" t="n">
        <x:f>IF(19&lt;=COUNTIFS('전체 WBS'!$AR$10:$AV$90,"&lt;1000000000"),SMALL('전체 WBS'!$AR$10:$AV$90,19),"")</x:f>
        <x:v>146330060.0</x:v>
      </x:c>
      <x:c r="N26" s="4" t="n">
        <x:f>IF($M26="","",MOD($M26,1000))</x:f>
        <x:v>60.0</x:v>
      </x:c>
      <x:c r="O26" s="4" t="n">
        <x:f>IF($M26="","",INT($M26/100000000))</x:f>
        <x:v>1.0</x:v>
      </x:c>
    </x:row>
    <x:row r="27" ht="31" customHeight="1">
      <x:c r="A27" s="93" t="str">
        <x:f>IF($M27="","",INDEX('전체 WBS'!$AR$9:$AV$9,1,$O27))</x:f>
        <x:v>M1 유용수</x:v>
      </x:c>
      <x:c r="B27" s="93" t="str">
        <x:f>IF($M27="","",IF(ISNUMBER(SEARCH($A27,INDEX('전체 WBS'!$D$1:$D$90,$N27))),"주담당","협업"))</x:f>
        <x:v>협업</x:v>
      </x:c>
      <x:c r="C27" s="93" t="str">
        <x:f>IF($M27="","",INDEX('전체 WBS'!$A$1:$A$90,$N27))</x:f>
        <x:v>C8</x:v>
      </x:c>
      <x:c r="D27" s="93" t="str">
        <x:f>IF($M27="","",INDEX('전체 WBS'!$B$1:$B$90,$N27))</x:f>
        <x:v>개발</x:v>
      </x:c>
      <x:c r="E27" s="93" t="str">
        <x:f>IF($M27="","",INDEX('전체 WBS'!$C$1:$C$90,$N27))</x:f>
        <x:v>앱·AI·CI/CD 통합 테스트</x:v>
      </x:c>
      <x:c r="F27" s="94" t="str">
        <x:f>IF($M27="","",INDEX('전체 WBS'!$F$1:$F$90,$N27))</x:f>
        <x:v>46332</x:v>
      </x:c>
      <x:c r="G27" s="94" t="str">
        <x:f>IF($M27="","",INDEX('전체 WBS'!$G$1:$G$90,$N27))</x:f>
        <x:v>46332</x:v>
      </x:c>
      <x:c r="H27" s="95" t="str">
        <x:f>IF($M27="","",INDEX('전체 WBS'!$H$1:$H$90,$N27))</x:f>
        <x:v>미확인</x:v>
      </x:c>
      <x:c r="I27" s="93" t="str">
        <x:f>IF($M27="","",INDEX('전체 WBS'!$I$1:$I$90,$N27))</x:f>
        <x:v>D4.1, D4.2, D4.3, D5.3, D6.2, D6.3, D7</x:v>
      </x:c>
      <x:c r="J27" s="93" t="str">
        <x:f>IF($M27="","",INDEX('전체 WBS'!$D$1:$D$90,$N27))</x:f>
        <x:v>M5 유은혜(PM)</x:v>
      </x:c>
      <x:c r="K27" s="93" t="str">
        <x:f>IF($M27="","",INDEX('전체 WBS'!$E$1:$E$90,$N27))</x:f>
        <x:v>M1 유용수 · M2 윤서영
M3 홍은서</x:v>
      </x:c>
      <x:c r="L27" s="100" t="str">
        <x:f>IF($M27="","",HYPERLINK(INDEX('전체 WBS'!$AW$1:$AW$90,$N27),"원문"))</x:f>
        <x:v>원문</x:v>
      </x:c>
      <x:c r="M27" s="4" t="n">
        <x:f>IF(20&lt;=COUNTIFS('전체 WBS'!$AR$10:$AV$90,"&lt;1000000000"),SMALL('전체 WBS'!$AR$10:$AV$90,20),"")</x:f>
        <x:v>146332043.0</x:v>
      </x:c>
      <x:c r="N27" s="4" t="n">
        <x:f>IF($M27="","",MOD($M27,1000))</x:f>
        <x:v>43.0</x:v>
      </x:c>
      <x:c r="O27" s="4" t="n">
        <x:f>IF($M27="","",INT($M27/100000000))</x:f>
        <x:v>1.0</x:v>
      </x:c>
    </x:row>
    <x:row r="28" ht="31" customHeight="1">
      <x:c r="A28" s="93" t="str">
        <x:f>IF($M28="","",INDEX('전체 WBS'!$AR$9:$AV$9,1,$O28))</x:f>
        <x:v>M1 유용수</x:v>
      </x:c>
      <x:c r="B28" s="93" t="str">
        <x:f>IF($M28="","",IF(ISNUMBER(SEARCH($A28,INDEX('전체 WBS'!$D$1:$D$90,$N28))),"주담당","협업"))</x:f>
        <x:v>주담당</x:v>
      </x:c>
      <x:c r="C28" s="93" t="str">
        <x:f>IF($M28="","",INDEX('전체 WBS'!$A$1:$A$90,$N28))</x:f>
        <x:v>I16.3</x:v>
      </x:c>
      <x:c r="D28" s="93" t="str">
        <x:f>IF($M28="","",INDEX('전체 WBS'!$B$1:$B$90,$N28))</x:f>
        <x:v>보안·검증</x:v>
      </x:c>
      <x:c r="E28" s="93" t="str">
        <x:f>IF($M28="","",INDEX('전체 WBS'!$C$1:$C$90,$N28))</x:f>
        <x:v>M1 개선 설정 통합·정상 통신 검증</x:v>
      </x:c>
      <x:c r="F28" s="94" t="str">
        <x:f>IF($M28="","",INDEX('전체 WBS'!$F$1:$F$90,$N28))</x:f>
        <x:v>46332</x:v>
      </x:c>
      <x:c r="G28" s="94" t="str">
        <x:f>IF($M28="","",INDEX('전체 WBS'!$G$1:$G$90,$N28))</x:f>
        <x:v>46332</x:v>
      </x:c>
      <x:c r="H28" s="95" t="str">
        <x:f>IF($M28="","",INDEX('전체 WBS'!$H$1:$H$90,$N28))</x:f>
        <x:v>미확인</x:v>
      </x:c>
      <x:c r="I28" s="93" t="str">
        <x:f>IF($M28="","",INDEX('전체 WBS'!$I$1:$I$90,$N28))</x:f>
        <x:v>I16.2</x:v>
      </x:c>
      <x:c r="J28" s="93" t="str">
        <x:f>IF($M28="","",INDEX('전체 WBS'!$D$1:$D$90,$N28))</x:f>
        <x:v>M1 유용수</x:v>
      </x:c>
      <x:c r="K28" s="93" t="str">
        <x:f>IF($M28="","",INDEX('전체 WBS'!$E$1:$E$90,$N28))</x:f>
        <x:v>—</x:v>
      </x:c>
      <x:c r="L28" s="100" t="str">
        <x:f>IF($M28="","",HYPERLINK(INDEX('전체 WBS'!$AW$1:$AW$90,$N28),"원문"))</x:f>
        <x:v>원문</x:v>
      </x:c>
      <x:c r="M28" s="4" t="n">
        <x:f>IF(21&lt;=COUNTIFS('전체 WBS'!$AR$10:$AV$90,"&lt;1000000000"),SMALL('전체 WBS'!$AR$10:$AV$90,21),"")</x:f>
        <x:v>146332067.0</x:v>
      </x:c>
      <x:c r="N28" s="4" t="n">
        <x:f>IF($M28="","",MOD($M28,1000))</x:f>
        <x:v>67.0</x:v>
      </x:c>
      <x:c r="O28" s="4" t="n">
        <x:f>IF($M28="","",INT($M28/100000000))</x:f>
        <x:v>1.0</x:v>
      </x:c>
    </x:row>
    <x:row r="29" ht="31" customHeight="1">
      <x:c r="A29" s="93" t="str">
        <x:f>IF($M29="","",INDEX('전체 WBS'!$AR$9:$AV$9,1,$O29))</x:f>
        <x:v>M1 유용수</x:v>
      </x:c>
      <x:c r="B29" s="93" t="str">
        <x:f>IF($M29="","",IF(ISNUMBER(SEARCH($A29,INDEX('전체 WBS'!$D$1:$D$90,$N29))),"주담당","협업"))</x:f>
        <x:v>협업</x:v>
      </x:c>
      <x:c r="C29" s="93" t="str">
        <x:f>IF($M29="","",INDEX('전체 WBS'!$A$1:$A$90,$N29))</x:f>
        <x:v>I21.3</x:v>
      </x:c>
      <x:c r="D29" s="93" t="str">
        <x:f>IF($M29="","",INDEX('전체 WBS'!$B$1:$B$90,$N29))</x:f>
        <x:v>보안·검증</x:v>
      </x:c>
      <x:c r="E29" s="93" t="str">
        <x:f>IF($M29="","",INDEX('전체 WBS'!$C$1:$C$90,$N29))</x:f>
        <x:v>독일 탐지·차단 해제·정상 동작 검증</x:v>
      </x:c>
      <x:c r="F29" s="94" t="str">
        <x:f>IF($M29="","",INDEX('전체 WBS'!$F$1:$F$90,$N29))</x:f>
        <x:v>46332</x:v>
      </x:c>
      <x:c r="G29" s="94" t="str">
        <x:f>IF($M29="","",INDEX('전체 WBS'!$G$1:$G$90,$N29))</x:f>
        <x:v>46332</x:v>
      </x:c>
      <x:c r="H29" s="95" t="str">
        <x:f>IF($M29="","",INDEX('전체 WBS'!$H$1:$H$90,$N29))</x:f>
        <x:v>미확인</x:v>
      </x:c>
      <x:c r="I29" s="93" t="str">
        <x:f>IF($M29="","",INDEX('전체 WBS'!$I$1:$I$90,$N29))</x:f>
        <x:v>I21.2</x:v>
      </x:c>
      <x:c r="J29" s="93" t="str">
        <x:f>IF($M29="","",INDEX('전체 WBS'!$D$1:$D$90,$N29))</x:f>
        <x:v>M2 윤서영</x:v>
      </x:c>
      <x:c r="K29" s="93" t="str">
        <x:f>IF($M29="","",INDEX('전체 WBS'!$E$1:$E$90,$N29))</x:f>
        <x:v>M1 유용수</x:v>
      </x:c>
      <x:c r="L29" s="100" t="str">
        <x:f>IF($M29="","",HYPERLINK(INDEX('전체 WBS'!$AW$1:$AW$90,$N29),"원문"))</x:f>
        <x:v>원문</x:v>
      </x:c>
      <x:c r="M29" s="4" t="n">
        <x:f>IF(22&lt;=COUNTIFS('전체 WBS'!$AR$10:$AV$90,"&lt;1000000000"),SMALL('전체 WBS'!$AR$10:$AV$90,22),"")</x:f>
        <x:v>146332068.0</x:v>
      </x:c>
      <x:c r="N29" s="4" t="n">
        <x:f>IF($M29="","",MOD($M29,1000))</x:f>
        <x:v>68.0</x:v>
      </x:c>
      <x:c r="O29" s="4" t="n">
        <x:f>IF($M29="","",INT($M29/100000000))</x:f>
        <x:v>1.0</x:v>
      </x:c>
    </x:row>
    <x:row r="30" ht="31" customHeight="1">
      <x:c r="A30" s="93" t="str">
        <x:f>IF($M30="","",INDEX('전체 WBS'!$AR$9:$AV$9,1,$O30))</x:f>
        <x:v>M1 유용수</x:v>
      </x:c>
      <x:c r="B30" s="93" t="str">
        <x:f>IF($M30="","",IF(ISNUMBER(SEARCH($A30,INDEX('전체 WBS'!$D$1:$D$90,$N30))),"주담당","협업"))</x:f>
        <x:v>협업</x:v>
      </x:c>
      <x:c r="C30" s="93" t="str">
        <x:f>IF($M30="","",INDEX('전체 WBS'!$A$1:$A$90,$N30))</x:f>
        <x:v>D8</x:v>
      </x:c>
      <x:c r="D30" s="93" t="str">
        <x:f>IF($M30="","",INDEX('전체 WBS'!$B$1:$B$90,$N30))</x:f>
        <x:v>개발</x:v>
      </x:c>
      <x:c r="E30" s="93" t="str">
        <x:f>IF($M30="","",INDEX('전체 WBS'!$C$1:$C$90,$N30))</x:f>
        <x:v>앱 회귀 테스트·배포 롤백 검증</x:v>
      </x:c>
      <x:c r="F30" s="94" t="str">
        <x:f>IF($M30="","",INDEX('전체 WBS'!$F$1:$F$90,$N30))</x:f>
        <x:v>46335</x:v>
      </x:c>
      <x:c r="G30" s="94" t="str">
        <x:f>IF($M30="","",INDEX('전체 WBS'!$G$1:$G$90,$N30))</x:f>
        <x:v>46336</x:v>
      </x:c>
      <x:c r="H30" s="95" t="str">
        <x:f>IF($M30="","",INDEX('전체 WBS'!$H$1:$H$90,$N30))</x:f>
        <x:v>미확인</x:v>
      </x:c>
      <x:c r="I30" s="93" t="str">
        <x:f>IF($M30="","",INDEX('전체 WBS'!$I$1:$I$90,$N30))</x:f>
        <x:v>C8, I16.3, I21.3, I26.4</x:v>
      </x:c>
      <x:c r="J30" s="93" t="str">
        <x:f>IF($M30="","",INDEX('전체 WBS'!$D$1:$D$90,$N30))</x:f>
        <x:v>M5 유은혜(PM)</x:v>
      </x:c>
      <x:c r="K30" s="93" t="str">
        <x:f>IF($M30="","",INDEX('전체 WBS'!$E$1:$E$90,$N30))</x:f>
        <x:v>M1 유용수 · M2 윤서영
M3 홍은서</x:v>
      </x:c>
      <x:c r="L30" s="100" t="str">
        <x:f>IF($M30="","",HYPERLINK(INDEX('전체 WBS'!$AW$1:$AW$90,$N30),"원문"))</x:f>
        <x:v>원문</x:v>
      </x:c>
      <x:c r="M30" s="4" t="n">
        <x:f>IF(23&lt;=COUNTIFS('전체 WBS'!$AR$10:$AV$90,"&lt;1000000000"),SMALL('전체 WBS'!$AR$10:$AV$90,23),"")</x:f>
        <x:v>146335044.0</x:v>
      </x:c>
      <x:c r="N30" s="4" t="n">
        <x:f>IF($M30="","",MOD($M30,1000))</x:f>
        <x:v>44.0</x:v>
      </x:c>
      <x:c r="O30" s="4" t="n">
        <x:f>IF($M30="","",INT($M30/100000000))</x:f>
        <x:v>1.0</x:v>
      </x:c>
    </x:row>
    <x:row r="31" ht="31" customHeight="1">
      <x:c r="A31" s="93" t="str">
        <x:f>IF($M31="","",INDEX('전체 WBS'!$AR$9:$AV$9,1,$O31))</x:f>
        <x:v>M1 유용수</x:v>
      </x:c>
      <x:c r="B31" s="93" t="str">
        <x:f>IF($M31="","",IF(ISNUMBER(SEARCH($A31,INDEX('전체 WBS'!$D$1:$D$90,$N31))),"주담당","협업"))</x:f>
        <x:v>주담당</x:v>
      </x:c>
      <x:c r="C31" s="93" t="str">
        <x:f>IF($M31="","",INDEX('전체 WBS'!$A$1:$A$90,$N31))</x:f>
        <x:v>I17</x:v>
      </x:c>
      <x:c r="D31" s="93" t="str">
        <x:f>IF($M31="","",INDEX('전체 WBS'!$B$1:$B$90,$N31))</x:f>
        <x:v>보안·검증</x:v>
      </x:c>
      <x:c r="E31" s="93" t="str">
        <x:f>IF($M31="","",INDEX('전체 WBS'!$C$1:$C$90,$N31))</x:f>
        <x:v>S01 재공격·정상 동작 검증</x:v>
      </x:c>
      <x:c r="F31" s="94" t="str">
        <x:f>IF($M31="","",INDEX('전체 WBS'!$F$1:$F$90,$N31))</x:f>
        <x:v>46335</x:v>
      </x:c>
      <x:c r="G31" s="94" t="str">
        <x:f>IF($M31="","",INDEX('전체 WBS'!$G$1:$G$90,$N31))</x:f>
        <x:v>46336</x:v>
      </x:c>
      <x:c r="H31" s="95" t="str">
        <x:f>IF($M31="","",INDEX('전체 WBS'!$H$1:$H$90,$N31))</x:f>
        <x:v>미확인</x:v>
      </x:c>
      <x:c r="I31" s="93" t="str">
        <x:f>IF($M31="","",INDEX('전체 WBS'!$I$1:$I$90,$N31))</x:f>
        <x:v>I16.3</x:v>
      </x:c>
      <x:c r="J31" s="93" t="str">
        <x:f>IF($M31="","",INDEX('전체 WBS'!$D$1:$D$90,$N31))</x:f>
        <x:v>M1 유용수</x:v>
      </x:c>
      <x:c r="K31" s="93" t="str">
        <x:f>IF($M31="","",INDEX('전체 WBS'!$E$1:$E$90,$N31))</x:f>
        <x:v>—</x:v>
      </x:c>
      <x:c r="L31" s="100" t="str">
        <x:f>IF($M31="","",HYPERLINK(INDEX('전체 WBS'!$AW$1:$AW$90,$N31),"원문"))</x:f>
        <x:v>원문</x:v>
      </x:c>
      <x:c r="M31" s="4" t="n">
        <x:f>IF(24&lt;=COUNTIFS('전체 WBS'!$AR$10:$AV$90,"&lt;1000000000"),SMALL('전체 WBS'!$AR$10:$AV$90,24),"")</x:f>
        <x:v>146335072.0</x:v>
      </x:c>
      <x:c r="N31" s="4" t="n">
        <x:f>IF($M31="","",MOD($M31,1000))</x:f>
        <x:v>72.0</x:v>
      </x:c>
      <x:c r="O31" s="4" t="n">
        <x:f>IF($M31="","",INT($M31/100000000))</x:f>
        <x:v>1.0</x:v>
      </x:c>
    </x:row>
    <x:row r="32" ht="31" customHeight="1">
      <x:c r="A32" s="93" t="str">
        <x:f>IF($M32="","",INDEX('전체 WBS'!$AR$9:$AV$9,1,$O32))</x:f>
        <x:v>M1 유용수</x:v>
      </x:c>
      <x:c r="B32" s="93" t="str">
        <x:f>IF($M32="","",IF(ISNUMBER(SEARCH($A32,INDEX('전체 WBS'!$D$1:$D$90,$N32))),"주담당","협업"))</x:f>
        <x:v>협업</x:v>
      </x:c>
      <x:c r="C32" s="93" t="str">
        <x:f>IF($M32="","",INDEX('전체 WBS'!$A$1:$A$90,$N32))</x:f>
        <x:v>I22</x:v>
      </x:c>
      <x:c r="D32" s="93" t="str">
        <x:f>IF($M32="","",INDEX('전체 WBS'!$B$1:$B$90,$N32))</x:f>
        <x:v>보안·검증</x:v>
      </x:c>
      <x:c r="E32" s="93" t="str">
        <x:f>IF($M32="","",INDEX('전체 WBS'!$C$1:$C$90,$N32))</x:f>
        <x:v>S02 재공격·정상 동작 검증</x:v>
      </x:c>
      <x:c r="F32" s="94" t="str">
        <x:f>IF($M32="","",INDEX('전체 WBS'!$F$1:$F$90,$N32))</x:f>
        <x:v>46335</x:v>
      </x:c>
      <x:c r="G32" s="94" t="str">
        <x:f>IF($M32="","",INDEX('전체 WBS'!$G$1:$G$90,$N32))</x:f>
        <x:v>46336</x:v>
      </x:c>
      <x:c r="H32" s="95" t="str">
        <x:f>IF($M32="","",INDEX('전체 WBS'!$H$1:$H$90,$N32))</x:f>
        <x:v>미확인</x:v>
      </x:c>
      <x:c r="I32" s="93" t="str">
        <x:f>IF($M32="","",INDEX('전체 WBS'!$I$1:$I$90,$N32))</x:f>
        <x:v>I21.3</x:v>
      </x:c>
      <x:c r="J32" s="93" t="str">
        <x:f>IF($M32="","",INDEX('전체 WBS'!$D$1:$D$90,$N32))</x:f>
        <x:v>M2 윤서영</x:v>
      </x:c>
      <x:c r="K32" s="93" t="str">
        <x:f>IF($M32="","",INDEX('전체 WBS'!$E$1:$E$90,$N32))</x:f>
        <x:v>M1 유용수</x:v>
      </x:c>
      <x:c r="L32" s="100" t="str">
        <x:f>IF($M32="","",HYPERLINK(INDEX('전체 WBS'!$AW$1:$AW$90,$N32),"원문"))</x:f>
        <x:v>원문</x:v>
      </x:c>
      <x:c r="M32" s="4" t="n">
        <x:f>IF(25&lt;=COUNTIFS('전체 WBS'!$AR$10:$AV$90,"&lt;1000000000"),SMALL('전체 WBS'!$AR$10:$AV$90,25),"")</x:f>
        <x:v>146335073.0</x:v>
      </x:c>
      <x:c r="N32" s="4" t="n">
        <x:f>IF($M32="","",MOD($M32,1000))</x:f>
        <x:v>73.0</x:v>
      </x:c>
      <x:c r="O32" s="4" t="n">
        <x:f>IF($M32="","",INT($M32/100000000))</x:f>
        <x:v>1.0</x:v>
      </x:c>
    </x:row>
    <x:row r="33" ht="31" customHeight="1">
      <x:c r="A33" s="93" t="str">
        <x:f>IF($M33="","",INDEX('전체 WBS'!$AR$9:$AV$9,1,$O33))</x:f>
        <x:v>M1 유용수</x:v>
      </x:c>
      <x:c r="B33" s="93" t="str">
        <x:f>IF($M33="","",IF(ISNUMBER(SEARCH($A33,INDEX('전체 WBS'!$D$1:$D$90,$N33))),"주담당","협업"))</x:f>
        <x:v>협업</x:v>
      </x:c>
      <x:c r="C33" s="93" t="str">
        <x:f>IF($M33="","",INDEX('전체 WBS'!$A$1:$A$90,$N33))</x:f>
        <x:v>I27</x:v>
      </x:c>
      <x:c r="D33" s="93" t="str">
        <x:f>IF($M33="","",INDEX('전체 WBS'!$B$1:$B$90,$N33))</x:f>
        <x:v>보안·검증</x:v>
      </x:c>
      <x:c r="E33" s="93" t="str">
        <x:f>IF($M33="","",INDEX('전체 WBS'!$C$1:$C$90,$N33))</x:f>
        <x:v>S03 재공격·정상 동작 검증</x:v>
      </x:c>
      <x:c r="F33" s="94" t="str">
        <x:f>IF($M33="","",INDEX('전체 WBS'!$F$1:$F$90,$N33))</x:f>
        <x:v>46335</x:v>
      </x:c>
      <x:c r="G33" s="94" t="str">
        <x:f>IF($M33="","",INDEX('전체 WBS'!$G$1:$G$90,$N33))</x:f>
        <x:v>46336</x:v>
      </x:c>
      <x:c r="H33" s="95" t="str">
        <x:f>IF($M33="","",INDEX('전체 WBS'!$H$1:$H$90,$N33))</x:f>
        <x:v>미확인</x:v>
      </x:c>
      <x:c r="I33" s="93" t="str">
        <x:f>IF($M33="","",INDEX('전체 WBS'!$I$1:$I$90,$N33))</x:f>
        <x:v>I26.4</x:v>
      </x:c>
      <x:c r="J33" s="93" t="str">
        <x:f>IF($M33="","",INDEX('전체 WBS'!$D$1:$D$90,$N33))</x:f>
        <x:v>M3 홍은서(PL)</x:v>
      </x:c>
      <x:c r="K33" s="93" t="str">
        <x:f>IF($M33="","",INDEX('전체 WBS'!$E$1:$E$90,$N33))</x:f>
        <x:v>M1 유용수</x:v>
      </x:c>
      <x:c r="L33" s="100" t="str">
        <x:f>IF($M33="","",HYPERLINK(INDEX('전체 WBS'!$AW$1:$AW$90,$N33),"원문"))</x:f>
        <x:v>원문</x:v>
      </x:c>
      <x:c r="M33" s="4" t="n">
        <x:f>IF(26&lt;=COUNTIFS('전체 WBS'!$AR$10:$AV$90,"&lt;1000000000"),SMALL('전체 WBS'!$AR$10:$AV$90,26),"")</x:f>
        <x:v>146335074.0</x:v>
      </x:c>
      <x:c r="N33" s="4" t="n">
        <x:f>IF($M33="","",MOD($M33,1000))</x:f>
        <x:v>74.0</x:v>
      </x:c>
      <x:c r="O33" s="4" t="n">
        <x:f>IF($M33="","",INT($M33/100000000))</x:f>
        <x:v>1.0</x:v>
      </x:c>
    </x:row>
    <x:row r="34" ht="31" customHeight="1">
      <x:c r="A34" s="93" t="str">
        <x:f>IF($M34="","",INDEX('전체 WBS'!$AR$9:$AV$9,1,$O34))</x:f>
        <x:v>M1 유용수</x:v>
      </x:c>
      <x:c r="B34" s="93" t="str">
        <x:f>IF($M34="","",IF(ISNUMBER(SEARCH($A34,INDEX('전체 WBS'!$D$1:$D$90,$N34))),"주담당","협업"))</x:f>
        <x:v>협업</x:v>
      </x:c>
      <x:c r="C34" s="93" t="str">
        <x:f>IF($M34="","",INDEX('전체 WBS'!$A$1:$A$90,$N34))</x:f>
        <x:v>I37</x:v>
      </x:c>
      <x:c r="D34" s="93" t="str">
        <x:f>IF($M34="","",INDEX('전체 WBS'!$B$1:$B$90,$N34))</x:f>
        <x:v>보안·검증</x:v>
      </x:c>
      <x:c r="E34" s="93" t="str">
        <x:f>IF($M34="","",INDEX('전체 WBS'!$C$1:$C$90,$N34))</x:f>
        <x:v>S05 재공격·정상 동작 검증</x:v>
      </x:c>
      <x:c r="F34" s="94" t="str">
        <x:f>IF($M34="","",INDEX('전체 WBS'!$F$1:$F$90,$N34))</x:f>
        <x:v>46335</x:v>
      </x:c>
      <x:c r="G34" s="94" t="str">
        <x:f>IF($M34="","",INDEX('전체 WBS'!$G$1:$G$90,$N34))</x:f>
        <x:v>46336</x:v>
      </x:c>
      <x:c r="H34" s="95" t="str">
        <x:f>IF($M34="","",INDEX('전체 WBS'!$H$1:$H$90,$N34))</x:f>
        <x:v>미확인</x:v>
      </x:c>
      <x:c r="I34" s="93" t="str">
        <x:f>IF($M34="","",INDEX('전체 WBS'!$I$1:$I$90,$N34))</x:f>
        <x:v>I36.2</x:v>
      </x:c>
      <x:c r="J34" s="93" t="str">
        <x:f>IF($M34="","",INDEX('전체 WBS'!$D$1:$D$90,$N34))</x:f>
        <x:v>M5 유은혜(PM)</x:v>
      </x:c>
      <x:c r="K34" s="93" t="str">
        <x:f>IF($M34="","",INDEX('전체 WBS'!$E$1:$E$90,$N34))</x:f>
        <x:v>M1 유용수 · M3 홍은서</x:v>
      </x:c>
      <x:c r="L34" s="100" t="str">
        <x:f>IF($M34="","",HYPERLINK(INDEX('전체 WBS'!$AW$1:$AW$90,$N34),"원문"))</x:f>
        <x:v>원문</x:v>
      </x:c>
      <x:c r="M34" s="4" t="n">
        <x:f>IF(27&lt;=COUNTIFS('전체 WBS'!$AR$10:$AV$90,"&lt;1000000000"),SMALL('전체 WBS'!$AR$10:$AV$90,27),"")</x:f>
        <x:v>146335076.0</x:v>
      </x:c>
      <x:c r="N34" s="4" t="n">
        <x:f>IF($M34="","",MOD($M34,1000))</x:f>
        <x:v>76.0</x:v>
      </x:c>
      <x:c r="O34" s="4" t="n">
        <x:f>IF($M34="","",INT($M34/100000000))</x:f>
        <x:v>1.0</x:v>
      </x:c>
    </x:row>
    <x:row r="35" ht="31" customHeight="1">
      <x:c r="A35" s="93" t="str">
        <x:f>IF($M35="","",INDEX('전체 WBS'!$AR$9:$AV$9,1,$O35))</x:f>
        <x:v>M1 유용수</x:v>
      </x:c>
      <x:c r="B35" s="93" t="str">
        <x:f>IF($M35="","",IF(ISNUMBER(SEARCH($A35,INDEX('전체 WBS'!$D$1:$D$90,$N35))),"주담당","협업"))</x:f>
        <x:v>주담당</x:v>
      </x:c>
      <x:c r="C35" s="93" t="str">
        <x:f>IF($M35="","",INDEX('전체 WBS'!$A$1:$A$90,$N35))</x:f>
        <x:v>I18</x:v>
      </x:c>
      <x:c r="D35" s="93" t="str">
        <x:f>IF($M35="","",INDEX('전체 WBS'!$B$1:$B$90,$N35))</x:f>
        <x:v>공동·관리</x:v>
      </x:c>
      <x:c r="E35" s="93" t="str">
        <x:f>IF($M35="","",INDEX('전체 WBS'!$C$1:$C$90,$N35))</x:f>
        <x:v>M1 결과·발표자료 정리</x:v>
      </x:c>
      <x:c r="F35" s="94" t="str">
        <x:f>IF($M35="","",INDEX('전체 WBS'!$F$1:$F$90,$N35))</x:f>
        <x:v>46337</x:v>
      </x:c>
      <x:c r="G35" s="94" t="str">
        <x:f>IF($M35="","",INDEX('전체 WBS'!$G$1:$G$90,$N35))</x:f>
        <x:v>46338</x:v>
      </x:c>
      <x:c r="H35" s="95" t="str">
        <x:f>IF($M35="","",INDEX('전체 WBS'!$H$1:$H$90,$N35))</x:f>
        <x:v>미확인</x:v>
      </x:c>
      <x:c r="I35" s="93" t="str">
        <x:f>IF($M35="","",INDEX('전체 WBS'!$I$1:$I$90,$N35))</x:f>
        <x:v>I17</x:v>
      </x:c>
      <x:c r="J35" s="93" t="str">
        <x:f>IF($M35="","",INDEX('전체 WBS'!$D$1:$D$90,$N35))</x:f>
        <x:v>M1 유용수</x:v>
      </x:c>
      <x:c r="K35" s="93" t="str">
        <x:f>IF($M35="","",INDEX('전체 WBS'!$E$1:$E$90,$N35))</x:f>
        <x:v>M5 유은혜</x:v>
      </x:c>
      <x:c r="L35" s="100" t="str">
        <x:f>IF($M35="","",HYPERLINK(INDEX('전체 WBS'!$AW$1:$AW$90,$N35),"원문"))</x:f>
        <x:v>원문</x:v>
      </x:c>
      <x:c r="M35" s="4" t="n">
        <x:f>IF(28&lt;=COUNTIFS('전체 WBS'!$AR$10:$AV$90,"&lt;1000000000"),SMALL('전체 WBS'!$AR$10:$AV$90,28),"")</x:f>
        <x:v>146337081.0</x:v>
      </x:c>
      <x:c r="N35" s="4" t="n">
        <x:f>IF($M35="","",MOD($M35,1000))</x:f>
        <x:v>81.0</x:v>
      </x:c>
      <x:c r="O35" s="4" t="n">
        <x:f>IF($M35="","",INT($M35/100000000))</x:f>
        <x:v>1.0</x:v>
      </x:c>
    </x:row>
    <x:row r="36" ht="31" customHeight="1">
      <x:c r="A36" s="93" t="str">
        <x:f>IF($M36="","",INDEX('전체 WBS'!$AR$9:$AV$9,1,$O36))</x:f>
        <x:v>M1 유용수</x:v>
      </x:c>
      <x:c r="B36" s="93" t="str">
        <x:f>IF($M36="","",IF(ISNUMBER(SEARCH($A36,INDEX('전체 WBS'!$D$1:$D$90,$N36))),"주담당","협업"))</x:f>
        <x:v>협업</x:v>
      </x:c>
      <x:c r="C36" s="93" t="str">
        <x:f>IF($M36="","",INDEX('전체 WBS'!$A$1:$A$90,$N36))</x:f>
        <x:v>C13.2</x:v>
      </x:c>
      <x:c r="D36" s="93" t="str">
        <x:f>IF($M36="","",INDEX('전체 WBS'!$B$1:$B$90,$N36))</x:f>
        <x:v>공동·관리</x:v>
      </x:c>
      <x:c r="E36" s="93" t="str">
        <x:f>IF($M36="","",INDEX('전체 WBS'!$C$1:$C$90,$N36))</x:f>
        <x:v>전원 리허설·환경 복구 확인</x:v>
      </x:c>
      <x:c r="F36" s="94" t="str">
        <x:f>IF($M36="","",INDEX('전체 WBS'!$F$1:$F$90,$N36))</x:f>
        <x:v>46339</x:v>
      </x:c>
      <x:c r="G36" s="94" t="str">
        <x:f>IF($M36="","",INDEX('전체 WBS'!$G$1:$G$90,$N36))</x:f>
        <x:v>46339</x:v>
      </x:c>
      <x:c r="H36" s="95" t="str">
        <x:f>IF($M36="","",INDEX('전체 WBS'!$H$1:$H$90,$N36))</x:f>
        <x:v>미확인</x:v>
      </x:c>
      <x:c r="I36" s="93" t="str">
        <x:f>IF($M36="","",INDEX('전체 WBS'!$I$1:$I$90,$N36))</x:f>
        <x:v>C13.1</x:v>
      </x:c>
      <x:c r="J36" s="93" t="str">
        <x:f>IF($M36="","",INDEX('전체 WBS'!$D$1:$D$90,$N36))</x:f>
        <x:v>M5 유은혜(PM)</x:v>
      </x:c>
      <x:c r="K36" s="93" t="str">
        <x:f>IF($M36="","",INDEX('전체 WBS'!$E$1:$E$90,$N36))</x:f>
        <x:v>M1 유용수 · M2 윤서영
M3 홍은서 · M4 박진혁</x:v>
      </x:c>
      <x:c r="L36" s="100" t="str">
        <x:f>IF($M36="","",HYPERLINK(INDEX('전체 WBS'!$AW$1:$AW$90,$N36),"원문"))</x:f>
        <x:v>원문</x:v>
      </x:c>
      <x:c r="M36" s="4" t="n">
        <x:f>IF(29&lt;=COUNTIFS('전체 WBS'!$AR$10:$AV$90,"&lt;1000000000"),SMALL('전체 WBS'!$AR$10:$AV$90,29),"")</x:f>
        <x:v>146339087.0</x:v>
      </x:c>
      <x:c r="N36" s="4" t="n">
        <x:f>IF($M36="","",MOD($M36,1000))</x:f>
        <x:v>87.0</x:v>
      </x:c>
      <x:c r="O36" s="4" t="n">
        <x:f>IF($M36="","",INT($M36/100000000))</x:f>
        <x:v>1.0</x:v>
      </x:c>
    </x:row>
    <x:row r="37" ht="31" customHeight="1">
      <x:c r="A37" s="93" t="str">
        <x:f>IF($M37="","",INDEX('전체 WBS'!$AR$9:$AV$9,1,$O37))</x:f>
        <x:v>M1 유용수</x:v>
      </x:c>
      <x:c r="B37" s="93" t="str">
        <x:f>IF($M37="","",IF(ISNUMBER(SEARCH($A37,INDEX('전체 WBS'!$D$1:$D$90,$N37))),"주담당","협업"))</x:f>
        <x:v>협업</x:v>
      </x:c>
      <x:c r="C37" s="93" t="str">
        <x:f>IF($M37="","",INDEX('전체 WBS'!$A$1:$A$90,$N37))</x:f>
        <x:v>C13.4</x:v>
      </x:c>
      <x:c r="D37" s="93" t="str">
        <x:f>IF($M37="","",INDEX('전체 WBS'!$B$1:$B$90,$N37))</x:f>
        <x:v>공동·관리</x:v>
      </x:c>
      <x:c r="E37" s="93" t="str">
        <x:f>IF($M37="","",INDEX('전체 WBS'!$C$1:$C$90,$N37))</x:f>
        <x:v>최종 발표·실습 자원 정리</x:v>
      </x:c>
      <x:c r="F37" s="94" t="str">
        <x:f>IF($M37="","",INDEX('전체 WBS'!$F$1:$F$90,$N37))</x:f>
        <x:v>46342</x:v>
      </x:c>
      <x:c r="G37" s="94" t="str">
        <x:f>IF($M37="","",INDEX('전체 WBS'!$G$1:$G$90,$N37))</x:f>
        <x:v>46342</x:v>
      </x:c>
      <x:c r="H37" s="95" t="str">
        <x:f>IF($M37="","",INDEX('전체 WBS'!$H$1:$H$90,$N37))</x:f>
        <x:v>미확인</x:v>
      </x:c>
      <x:c r="I37" s="93" t="str">
        <x:f>IF($M37="","",INDEX('전체 WBS'!$I$1:$I$90,$N37))</x:f>
        <x:v>C13.3</x:v>
      </x:c>
      <x:c r="J37" s="93" t="str">
        <x:f>IF($M37="","",INDEX('전체 WBS'!$D$1:$D$90,$N37))</x:f>
        <x:v>M5 유은혜(PM)</x:v>
      </x:c>
      <x:c r="K37" s="93" t="str">
        <x:f>IF($M37="","",INDEX('전체 WBS'!$E$1:$E$90,$N37))</x:f>
        <x:v>M1 유용수 · M2 윤서영
M3 홍은서 · M4 박진혁</x:v>
      </x:c>
      <x:c r="L37" s="100" t="str">
        <x:f>IF($M37="","",HYPERLINK(INDEX('전체 WBS'!$AW$1:$AW$90,$N37),"원문"))</x:f>
        <x:v>원문</x:v>
      </x:c>
      <x:c r="M37" s="4" t="n">
        <x:f>IF(30&lt;=COUNTIFS('전체 WBS'!$AR$10:$AV$90,"&lt;1000000000"),SMALL('전체 WBS'!$AR$10:$AV$90,30),"")</x:f>
        <x:v>146342089.0</x:v>
      </x:c>
      <x:c r="N37" s="4" t="n">
        <x:f>IF($M37="","",MOD($M37,1000))</x:f>
        <x:v>89.0</x:v>
      </x:c>
      <x:c r="O37" s="4" t="n">
        <x:f>IF($M37="","",INT($M37/100000000))</x:f>
        <x:v>1.0</x:v>
      </x:c>
    </x:row>
    <x:row r="38" ht="31" customHeight="1">
      <x:c r="A38" s="93" t="str">
        <x:f>IF($M38="","",INDEX('전체 WBS'!$AR$9:$AV$9,1,$O38))</x:f>
        <x:v>M2 윤서영</x:v>
      </x:c>
      <x:c r="B38" s="93" t="str">
        <x:f>IF($M38="","",IF(ISNUMBER(SEARCH($A38,INDEX('전체 WBS'!$D$1:$D$90,$N38))),"주담당","협업"))</x:f>
        <x:v>주담당</x:v>
      </x:c>
      <x:c r="C38" s="93" t="str">
        <x:f>IF($M38="","",INDEX('전체 WBS'!$A$1:$A$90,$N38))</x:f>
        <x:v>I02</x:v>
      </x:c>
      <x:c r="D38" s="93" t="str">
        <x:f>IF($M38="","",INDEX('전체 WBS'!$B$1:$B$90,$N38))</x:f>
        <x:v>인프라</x:v>
      </x:c>
      <x:c r="E38" s="93" t="str">
        <x:f>IF($M38="","",INDEX('전체 WBS'!$C$1:$C$90,$N38))</x:f>
        <x:v>독일 AS-IS 토폴로지 작성</x:v>
      </x:c>
      <x:c r="F38" s="94" t="str">
        <x:f>IF($M38="","",INDEX('전체 WBS'!$F$1:$F$90,$N38))</x:f>
        <x:v>46315</x:v>
      </x:c>
      <x:c r="G38" s="94" t="str">
        <x:f>IF($M38="","",INDEX('전체 WBS'!$G$1:$G$90,$N38))</x:f>
        <x:v>46316</x:v>
      </x:c>
      <x:c r="H38" s="95" t="str">
        <x:f>IF($M38="","",INDEX('전체 WBS'!$H$1:$H$90,$N38))</x:f>
        <x:v>검토 중</x:v>
      </x:c>
      <x:c r="I38" s="93" t="str">
        <x:f>IF($M38="","",INDEX('전체 WBS'!$I$1:$I$90,$N38))</x:f>
        <x:v>—</x:v>
      </x:c>
      <x:c r="J38" s="93" t="str">
        <x:f>IF($M38="","",INDEX('전체 WBS'!$D$1:$D$90,$N38))</x:f>
        <x:v>M2 윤서영</x:v>
      </x:c>
      <x:c r="K38" s="93" t="str">
        <x:f>IF($M38="","",INDEX('전체 WBS'!$E$1:$E$90,$N38))</x:f>
        <x:v>M3 홍은서</x:v>
      </x:c>
      <x:c r="L38" s="100" t="str">
        <x:f>IF($M38="","",HYPERLINK(INDEX('전체 WBS'!$AW$1:$AW$90,$N38),"원문"))</x:f>
        <x:v>원문</x:v>
      </x:c>
      <x:c r="M38" s="4" t="n">
        <x:f>IF(31&lt;=COUNTIFS('전체 WBS'!$AR$10:$AV$90,"&lt;1000000000"),SMALL('전체 WBS'!$AR$10:$AV$90,31),"")</x:f>
        <x:v>246315012.0</x:v>
      </x:c>
      <x:c r="N38" s="4" t="n">
        <x:f>IF($M38="","",MOD($M38,1000))</x:f>
        <x:v>12.0</x:v>
      </x:c>
      <x:c r="O38" s="4" t="n">
        <x:f>IF($M38="","",INT($M38/100000000))</x:f>
        <x:v>2.0</x:v>
      </x:c>
    </x:row>
    <x:row r="39" ht="31" customHeight="1">
      <x:c r="A39" s="93" t="str">
        <x:f>IF($M39="","",INDEX('전체 WBS'!$AR$9:$AV$9,1,$O39))</x:f>
        <x:v>M2 윤서영</x:v>
      </x:c>
      <x:c r="B39" s="93" t="str">
        <x:f>IF($M39="","",IF(ISNUMBER(SEARCH($A39,INDEX('전체 WBS'!$D$1:$D$90,$N39))),"주담당","협업"))</x:f>
        <x:v>협업</x:v>
      </x:c>
      <x:c r="C39" s="93" t="str">
        <x:f>IF($M39="","",INDEX('전체 WBS'!$A$1:$A$90,$N39))</x:f>
        <x:v>C6.1</x:v>
      </x:c>
      <x:c r="D39" s="93" t="str">
        <x:f>IF($M39="","",INDEX('전체 WBS'!$B$1:$B$90,$N39))</x:f>
        <x:v>공동·관리</x:v>
      </x:c>
      <x:c r="E39" s="93" t="str">
        <x:f>IF($M39="","",INDEX('전체 WBS'!$C$1:$C$90,$N39))</x:f>
        <x:v>IP·구축 환경 기술 검토·계획서 개정</x:v>
      </x:c>
      <x:c r="F39" s="94" t="str">
        <x:f>IF($M39="","",INDEX('전체 WBS'!$F$1:$F$90,$N39))</x:f>
        <x:v>46316</x:v>
      </x:c>
      <x:c r="G39" s="94" t="str">
        <x:f>IF($M39="","",INDEX('전체 WBS'!$G$1:$G$90,$N39))</x:f>
        <x:v>46318</x:v>
      </x:c>
      <x:c r="H39" s="95" t="str">
        <x:f>IF($M39="","",INDEX('전체 WBS'!$H$1:$H$90,$N39))</x:f>
        <x:v>진행 중</x:v>
      </x:c>
      <x:c r="I39" s="93" t="str">
        <x:f>IF($M39="","",INDEX('전체 WBS'!$I$1:$I$90,$N39))</x:f>
        <x:v>I01, I02, I03, I04, I05</x:v>
      </x:c>
      <x:c r="J39" s="93" t="str">
        <x:f>IF($M39="","",INDEX('전체 WBS'!$D$1:$D$90,$N39))</x:f>
        <x:v>M5 유은혜(PM)</x:v>
      </x:c>
      <x:c r="K39" s="93" t="str">
        <x:f>IF($M39="","",INDEX('전체 WBS'!$E$1:$E$90,$N39))</x:f>
        <x:v>M3 홍은서 · M1 유용수
M2 윤서영 · M4 박진혁</x:v>
      </x:c>
      <x:c r="L39" s="100" t="str">
        <x:f>IF($M39="","",HYPERLINK(INDEX('전체 WBS'!$AW$1:$AW$90,$N39),"원문"))</x:f>
        <x:v>원문</x:v>
      </x:c>
      <x:c r="M39" s="4" t="n">
        <x:f>IF(32&lt;=COUNTIFS('전체 WBS'!$AR$10:$AV$90,"&lt;1000000000"),SMALL('전체 WBS'!$AR$10:$AV$90,32),"")</x:f>
        <x:v>246316016.0</x:v>
      </x:c>
      <x:c r="N39" s="4" t="n">
        <x:f>IF($M39="","",MOD($M39,1000))</x:f>
        <x:v>16.0</x:v>
      </x:c>
      <x:c r="O39" s="4" t="n">
        <x:f>IF($M39="","",INT($M39/100000000))</x:f>
        <x:v>2.0</x:v>
      </x:c>
    </x:row>
    <x:row r="40" ht="31" customHeight="1">
      <x:c r="A40" s="93" t="str">
        <x:f>IF($M40="","",INDEX('전체 WBS'!$AR$9:$AV$9,1,$O40))</x:f>
        <x:v>M2 윤서영</x:v>
      </x:c>
      <x:c r="B40" s="93" t="str">
        <x:f>IF($M40="","",IF(ISNUMBER(SEARCH($A40,INDEX('전체 WBS'!$D$1:$D$90,$N40))),"주담당","협업"))</x:f>
        <x:v>협업</x:v>
      </x:c>
      <x:c r="C40" s="93" t="str">
        <x:f>IF($M40="","",INDEX('전체 WBS'!$A$1:$A$90,$N40))</x:f>
        <x:v>I14</x:v>
      </x:c>
      <x:c r="D40" s="93" t="str">
        <x:f>IF($M40="","",INDEX('전체 WBS'!$B$1:$B$90,$N40))</x:f>
        <x:v>인프라</x:v>
      </x:c>
      <x:c r="E40" s="93" t="str">
        <x:f>IF($M40="","",INDEX('전체 WBS'!$C$1:$C$90,$N40))</x:f>
        <x:v>한국 본사 장비·기본 서비스 구성</x:v>
      </x:c>
      <x:c r="F40" s="94" t="str">
        <x:f>IF($M40="","",INDEX('전체 WBS'!$F$1:$F$90,$N40))</x:f>
        <x:v>46316</x:v>
      </x:c>
      <x:c r="G40" s="94" t="str">
        <x:f>IF($M40="","",INDEX('전체 WBS'!$G$1:$G$90,$N40))</x:f>
        <x:v>46323</x:v>
      </x:c>
      <x:c r="H40" s="95" t="str">
        <x:f>IF($M40="","",INDEX('전체 WBS'!$H$1:$H$90,$N40))</x:f>
        <x:v>미확인</x:v>
      </x:c>
      <x:c r="I40" s="93" t="str">
        <x:f>IF($M40="","",INDEX('전체 WBS'!$I$1:$I$90,$N40))</x:f>
        <x:v>I01, C6.1</x:v>
      </x:c>
      <x:c r="J40" s="93" t="str">
        <x:f>IF($M40="","",INDEX('전체 WBS'!$D$1:$D$90,$N40))</x:f>
        <x:v>M1 유용수</x:v>
      </x:c>
      <x:c r="K40" s="93" t="str">
        <x:f>IF($M40="","",INDEX('전체 WBS'!$E$1:$E$90,$N40))</x:f>
        <x:v>M2 윤서영</x:v>
      </x:c>
      <x:c r="L40" s="100" t="str">
        <x:f>IF($M40="","",HYPERLINK(INDEX('전체 WBS'!$AW$1:$AW$90,$N40),"원문"))</x:f>
        <x:v>원문</x:v>
      </x:c>
      <x:c r="M40" s="4" t="n">
        <x:f>IF(33&lt;=COUNTIFS('전체 WBS'!$AR$10:$AV$90,"&lt;1000000000"),SMALL('전체 WBS'!$AR$10:$AV$90,33),"")</x:f>
        <x:v>246316018.0</x:v>
      </x:c>
      <x:c r="N40" s="4" t="n">
        <x:f>IF($M40="","",MOD($M40,1000))</x:f>
        <x:v>18.0</x:v>
      </x:c>
      <x:c r="O40" s="4" t="n">
        <x:f>IF($M40="","",INT($M40/100000000))</x:f>
        <x:v>2.0</x:v>
      </x:c>
    </x:row>
    <x:row r="41" ht="31" customHeight="1">
      <x:c r="A41" s="93" t="str">
        <x:f>IF($M41="","",INDEX('전체 WBS'!$AR$9:$AV$9,1,$O41))</x:f>
        <x:v>M2 윤서영</x:v>
      </x:c>
      <x:c r="B41" s="93" t="str">
        <x:f>IF($M41="","",IF(ISNUMBER(SEARCH($A41,INDEX('전체 WBS'!$D$1:$D$90,$N41))),"주담당","협업"))</x:f>
        <x:v>주담당</x:v>
      </x:c>
      <x:c r="C41" s="93" t="str">
        <x:f>IF($M41="","",INDEX('전체 WBS'!$A$1:$A$90,$N41))</x:f>
        <x:v>I19</x:v>
      </x:c>
      <x:c r="D41" s="93" t="str">
        <x:f>IF($M41="","",INDEX('전체 WBS'!$B$1:$B$90,$N41))</x:f>
        <x:v>인프라</x:v>
      </x:c>
      <x:c r="E41" s="93" t="str">
        <x:f>IF($M41="","",INDEX('전체 WBS'!$C$1:$C$90,$N41))</x:f>
        <x:v>독일 장비·기본 서비스 구성</x:v>
      </x:c>
      <x:c r="F41" s="94" t="str">
        <x:f>IF($M41="","",INDEX('전체 WBS'!$F$1:$F$90,$N41))</x:f>
        <x:v>46316</x:v>
      </x:c>
      <x:c r="G41" s="94" t="str">
        <x:f>IF($M41="","",INDEX('전체 WBS'!$G$1:$G$90,$N41))</x:f>
        <x:v>46323</x:v>
      </x:c>
      <x:c r="H41" s="95" t="str">
        <x:f>IF($M41="","",INDEX('전체 WBS'!$H$1:$H$90,$N41))</x:f>
        <x:v>미확인</x:v>
      </x:c>
      <x:c r="I41" s="93" t="str">
        <x:f>IF($M41="","",INDEX('전체 WBS'!$I$1:$I$90,$N41))</x:f>
        <x:v>I02, C6.1</x:v>
      </x:c>
      <x:c r="J41" s="93" t="str">
        <x:f>IF($M41="","",INDEX('전체 WBS'!$D$1:$D$90,$N41))</x:f>
        <x:v>M2 윤서영</x:v>
      </x:c>
      <x:c r="K41" s="93" t="str">
        <x:f>IF($M41="","",INDEX('전체 WBS'!$E$1:$E$90,$N41))</x:f>
        <x:v>M1 유용수</x:v>
      </x:c>
      <x:c r="L41" s="100" t="str">
        <x:f>IF($M41="","",HYPERLINK(INDEX('전체 WBS'!$AW$1:$AW$90,$N41),"원문"))</x:f>
        <x:v>원문</x:v>
      </x:c>
      <x:c r="M41" s="4" t="n">
        <x:f>IF(34&lt;=COUNTIFS('전체 WBS'!$AR$10:$AV$90,"&lt;1000000000"),SMALL('전체 WBS'!$AR$10:$AV$90,34),"")</x:f>
        <x:v>246316019.0</x:v>
      </x:c>
      <x:c r="N41" s="4" t="n">
        <x:f>IF($M41="","",MOD($M41,1000))</x:f>
        <x:v>19.0</x:v>
      </x:c>
      <x:c r="O41" s="4" t="n">
        <x:f>IF($M41="","",INT($M41/100000000))</x:f>
        <x:v>2.0</x:v>
      </x:c>
    </x:row>
    <x:row r="42" ht="31" customHeight="1">
      <x:c r="A42" s="93" t="str">
        <x:f>IF($M42="","",INDEX('전체 WBS'!$AR$9:$AV$9,1,$O42))</x:f>
        <x:v>M2 윤서영</x:v>
      </x:c>
      <x:c r="B42" s="93" t="str">
        <x:f>IF($M42="","",IF(ISNUMBER(SEARCH($A42,INDEX('전체 WBS'!$D$1:$D$90,$N42))),"주담당","협업"))</x:f>
        <x:v>협업</x:v>
      </x:c>
      <x:c r="C42" s="93" t="str">
        <x:f>IF($M42="","",INDEX('전체 WBS'!$A$1:$A$90,$N42))</x:f>
        <x:v>D1</x:v>
      </x:c>
      <x:c r="D42" s="93" t="str">
        <x:f>IF($M42="","",INDEX('전체 WBS'!$B$1:$B$90,$N42))</x:f>
        <x:v>개발</x:v>
      </x:c>
      <x:c r="E42" s="93" t="str">
        <x:f>IF($M42="","",INDEX('전체 WBS'!$C$1:$C$90,$N42))</x:f>
        <x:v>실행 환경 정의·ERD·클래스 설계</x:v>
      </x:c>
      <x:c r="F42" s="94" t="str">
        <x:f>IF($M42="","",INDEX('전체 WBS'!$F$1:$F$90,$N42))</x:f>
        <x:v>46316</x:v>
      </x:c>
      <x:c r="G42" s="94" t="str">
        <x:f>IF($M42="","",INDEX('전체 WBS'!$G$1:$G$90,$N42))</x:f>
        <x:v>46318</x:v>
      </x:c>
      <x:c r="H42" s="95" t="str">
        <x:f>IF($M42="","",INDEX('전체 WBS'!$H$1:$H$90,$N42))</x:f>
        <x:v>미확인</x:v>
      </x:c>
      <x:c r="I42" s="93" t="str">
        <x:f>IF($M42="","",INDEX('전체 WBS'!$I$1:$I$90,$N42))</x:f>
        <x:v>—</x:v>
      </x:c>
      <x:c r="J42" s="93" t="str">
        <x:f>IF($M42="","",INDEX('전체 WBS'!$D$1:$D$90,$N42))</x:f>
        <x:v>M5 유은혜(PM)</x:v>
      </x:c>
      <x:c r="K42" s="93" t="str">
        <x:f>IF($M42="","",INDEX('전체 WBS'!$E$1:$E$90,$N42))</x:f>
        <x:v>M1 유용수 · M2 윤서영
M3 홍은서</x:v>
      </x:c>
      <x:c r="L42" s="100" t="str">
        <x:f>IF($M42="","",HYPERLINK(INDEX('전체 WBS'!$AW$1:$AW$90,$N42),"원문"))</x:f>
        <x:v>원문</x:v>
      </x:c>
      <x:c r="M42" s="4" t="n">
        <x:f>IF(35&lt;=COUNTIFS('전체 WBS'!$AR$10:$AV$90,"&lt;1000000000"),SMALL('전체 WBS'!$AR$10:$AV$90,35),"")</x:f>
        <x:v>246316030.0</x:v>
      </x:c>
      <x:c r="N42" s="4" t="n">
        <x:f>IF($M42="","",MOD($M42,1000))</x:f>
        <x:v>30.0</x:v>
      </x:c>
      <x:c r="O42" s="4" t="n">
        <x:f>IF($M42="","",INT($M42/100000000))</x:f>
        <x:v>2.0</x:v>
      </x:c>
    </x:row>
    <x:row r="43" ht="31" customHeight="1">
      <x:c r="A43" s="93" t="str">
        <x:f>IF($M43="","",INDEX('전체 WBS'!$AR$9:$AV$9,1,$O43))</x:f>
        <x:v>M2 윤서영</x:v>
      </x:c>
      <x:c r="B43" s="93" t="str">
        <x:f>IF($M43="","",IF(ISNUMBER(SEARCH($A43,INDEX('전체 WBS'!$D$1:$D$90,$N43))),"주담당","협업"))</x:f>
        <x:v>협업</x:v>
      </x:c>
      <x:c r="C43" s="93" t="str">
        <x:f>IF($M43="","",INDEX('전체 WBS'!$A$1:$A$90,$N43))</x:f>
        <x:v>C7</x:v>
      </x:c>
      <x:c r="D43" s="93" t="str">
        <x:f>IF($M43="","",INDEX('전체 WBS'!$B$1:$B$90,$N43))</x:f>
        <x:v>인프라</x:v>
      </x:c>
      <x:c r="E43" s="93" t="str">
        <x:f>IF($M43="","",INDEX('전체 WBS'!$C$1:$C$90,$N43))</x:f>
        <x:v>망 간 라우팅·VPN 구성 및 검증</x:v>
      </x:c>
      <x:c r="F43" s="94" t="str">
        <x:f>IF($M43="","",INDEX('전체 WBS'!$F$1:$F$90,$N43))</x:f>
        <x:v>46317</x:v>
      </x:c>
      <x:c r="G43" s="94" t="str">
        <x:f>IF($M43="","",INDEX('전체 WBS'!$G$1:$G$90,$N43))</x:f>
        <x:v>46323</x:v>
      </x:c>
      <x:c r="H43" s="95" t="str">
        <x:f>IF($M43="","",INDEX('전체 WBS'!$H$1:$H$90,$N43))</x:f>
        <x:v>미확인</x:v>
      </x:c>
      <x:c r="I43" s="93" t="str">
        <x:f>IF($M43="","",INDEX('전체 WBS'!$I$1:$I$90,$N43))</x:f>
        <x:v>C6.1, I14, I19, I24, I29, I34</x:v>
      </x:c>
      <x:c r="J43" s="93" t="str">
        <x:f>IF($M43="","",INDEX('전체 WBS'!$D$1:$D$90,$N43))</x:f>
        <x:v>M1 유용수</x:v>
      </x:c>
      <x:c r="K43" s="93" t="str">
        <x:f>IF($M43="","",INDEX('전체 WBS'!$E$1:$E$90,$N43))</x:f>
        <x:v>M2 윤서영 · M3 홍은서
M4 박진혁 · M5 유은혜</x:v>
      </x:c>
      <x:c r="L43" s="100" t="str">
        <x:f>IF($M43="","",HYPERLINK(INDEX('전체 WBS'!$AW$1:$AW$90,$N43),"원문"))</x:f>
        <x:v>원문</x:v>
      </x:c>
      <x:c r="M43" s="4" t="n">
        <x:f>IF(36&lt;=COUNTIFS('전체 WBS'!$AR$10:$AV$90,"&lt;1000000000"),SMALL('전체 WBS'!$AR$10:$AV$90,36),"")</x:f>
        <x:v>246317023.0</x:v>
      </x:c>
      <x:c r="N43" s="4" t="n">
        <x:f>IF($M43="","",MOD($M43,1000))</x:f>
        <x:v>23.0</x:v>
      </x:c>
      <x:c r="O43" s="4" t="n">
        <x:f>IF($M43="","",INT($M43/100000000))</x:f>
        <x:v>2.0</x:v>
      </x:c>
    </x:row>
    <x:row r="44" ht="31" customHeight="1">
      <x:c r="A44" s="93" t="str">
        <x:f>IF($M44="","",INDEX('전체 WBS'!$AR$9:$AV$9,1,$O44))</x:f>
        <x:v>M2 윤서영</x:v>
      </x:c>
      <x:c r="B44" s="93" t="str">
        <x:f>IF($M44="","",IF(ISNUMBER(SEARCH($A44,INDEX('전체 WBS'!$D$1:$D$90,$N44))),"주담당","협업"))</x:f>
        <x:v>협업</x:v>
      </x:c>
      <x:c r="C44" s="93" t="str">
        <x:f>IF($M44="","",INDEX('전체 WBS'!$A$1:$A$90,$N44))</x:f>
        <x:v>D2</x:v>
      </x:c>
      <x:c r="D44" s="93" t="str">
        <x:f>IF($M44="","",INDEX('전체 WBS'!$B$1:$B$90,$N44))</x:f>
        <x:v>개발</x:v>
      </x:c>
      <x:c r="E44" s="93" t="str">
        <x:f>IF($M44="","",INDEX('전체 WBS'!$C$1:$C$90,$N44))</x:f>
        <x:v>한국·독일 공통 게시판 개발</x:v>
      </x:c>
      <x:c r="F44" s="94" t="str">
        <x:f>IF($M44="","",INDEX('전체 WBS'!$F$1:$F$90,$N44))</x:f>
        <x:v>46317</x:v>
      </x:c>
      <x:c r="G44" s="94" t="str">
        <x:f>IF($M44="","",INDEX('전체 WBS'!$G$1:$G$90,$N44))</x:f>
        <x:v>46318</x:v>
      </x:c>
      <x:c r="H44" s="95" t="str">
        <x:f>IF($M44="","",INDEX('전체 WBS'!$H$1:$H$90,$N44))</x:f>
        <x:v>미확인</x:v>
      </x:c>
      <x:c r="I44" s="93" t="str">
        <x:f>IF($M44="","",INDEX('전체 WBS'!$I$1:$I$90,$N44))</x:f>
        <x:v>D1</x:v>
      </x:c>
      <x:c r="J44" s="93" t="str">
        <x:f>IF($M44="","",INDEX('전체 WBS'!$D$1:$D$90,$N44))</x:f>
        <x:v>M5 유은혜(PM)</x:v>
      </x:c>
      <x:c r="K44" s="93" t="str">
        <x:f>IF($M44="","",INDEX('전체 WBS'!$E$1:$E$90,$N44))</x:f>
        <x:v>M1 유용수 · M2 윤서영</x:v>
      </x:c>
      <x:c r="L44" s="100" t="str">
        <x:f>IF($M44="","",HYPERLINK(INDEX('전체 WBS'!$AW$1:$AW$90,$N44),"원문"))</x:f>
        <x:v>원문</x:v>
      </x:c>
      <x:c r="M44" s="4" t="n">
        <x:f>IF(37&lt;=COUNTIFS('전체 WBS'!$AR$10:$AV$90,"&lt;1000000000"),SMALL('전체 WBS'!$AR$10:$AV$90,37),"")</x:f>
        <x:v>246317031.0</x:v>
      </x:c>
      <x:c r="N44" s="4" t="n">
        <x:f>IF($M44="","",MOD($M44,1000))</x:f>
        <x:v>31.0</x:v>
      </x:c>
      <x:c r="O44" s="4" t="n">
        <x:f>IF($M44="","",INT($M44/100000000))</x:f>
        <x:v>2.0</x:v>
      </x:c>
    </x:row>
    <x:row r="45" ht="31" customHeight="1">
      <x:c r="A45" s="93" t="str">
        <x:f>IF($M45="","",INDEX('전체 WBS'!$AR$9:$AV$9,1,$O45))</x:f>
        <x:v>M2 윤서영</x:v>
      </x:c>
      <x:c r="B45" s="93" t="str">
        <x:f>IF($M45="","",IF(ISNUMBER(SEARCH($A45,INDEX('전체 WBS'!$D$1:$D$90,$N45))),"주담당","협업"))</x:f>
        <x:v>주담당</x:v>
      </x:c>
      <x:c r="C45" s="93" t="str">
        <x:f>IF($M45="","",INDEX('전체 WBS'!$A$1:$A$90,$N45))</x:f>
        <x:v>D4.2</x:v>
      </x:c>
      <x:c r="D45" s="93" t="str">
        <x:f>IF($M45="","",INDEX('전체 WBS'!$B$1:$B$90,$N45))</x:f>
        <x:v>개발</x:v>
      </x:c>
      <x:c r="E45" s="93" t="str">
        <x:f>IF($M45="","",INDEX('전체 WBS'!$C$1:$C$90,$N45))</x:f>
        <x:v>독일 게시판 서버 배포</x:v>
      </x:c>
      <x:c r="F45" s="94" t="str">
        <x:f>IF($M45="","",INDEX('전체 WBS'!$F$1:$F$90,$N45))</x:f>
        <x:v>46324</x:v>
      </x:c>
      <x:c r="G45" s="94" t="str">
        <x:f>IF($M45="","",INDEX('전체 WBS'!$G$1:$G$90,$N45))</x:f>
        <x:v>46325</x:v>
      </x:c>
      <x:c r="H45" s="95" t="str">
        <x:f>IF($M45="","",INDEX('전체 WBS'!$H$1:$H$90,$N45))</x:f>
        <x:v>미확인</x:v>
      </x:c>
      <x:c r="I45" s="93" t="str">
        <x:f>IF($M45="","",INDEX('전체 WBS'!$I$1:$I$90,$N45))</x:f>
        <x:v>D2, I19, C7</x:v>
      </x:c>
      <x:c r="J45" s="93" t="str">
        <x:f>IF($M45="","",INDEX('전체 WBS'!$D$1:$D$90,$N45))</x:f>
        <x:v>M2 윤서영</x:v>
      </x:c>
      <x:c r="K45" s="93" t="str">
        <x:f>IF($M45="","",INDEX('전체 WBS'!$E$1:$E$90,$N45))</x:f>
        <x:v>M5 유은혜</x:v>
      </x:c>
      <x:c r="L45" s="100" t="str">
        <x:f>IF($M45="","",HYPERLINK(INDEX('전체 WBS'!$AW$1:$AW$90,$N45),"원문"))</x:f>
        <x:v>원문</x:v>
      </x:c>
      <x:c r="M45" s="4" t="n">
        <x:f>IF(38&lt;=COUNTIFS('전체 WBS'!$AR$10:$AV$90,"&lt;1000000000"),SMALL('전체 WBS'!$AR$10:$AV$90,38),"")</x:f>
        <x:v>246324034.0</x:v>
      </x:c>
      <x:c r="N45" s="4" t="n">
        <x:f>IF($M45="","",MOD($M45,1000))</x:f>
        <x:v>34.0</x:v>
      </x:c>
      <x:c r="O45" s="4" t="n">
        <x:f>IF($M45="","",INT($M45/100000000))</x:f>
        <x:v>2.0</x:v>
      </x:c>
    </x:row>
    <x:row r="46" ht="31" customHeight="1">
      <x:c r="A46" s="93" t="str">
        <x:f>IF($M46="","",INDEX('전체 WBS'!$AR$9:$AV$9,1,$O46))</x:f>
        <x:v>M2 윤서영</x:v>
      </x:c>
      <x:c r="B46" s="93" t="str">
        <x:f>IF($M46="","",IF(ISNUMBER(SEARCH($A46,INDEX('전체 WBS'!$D$1:$D$90,$N46))),"주담당","협업"))</x:f>
        <x:v>주담당</x:v>
      </x:c>
      <x:c r="C46" s="93" t="str">
        <x:f>IF($M46="","",INDEX('전체 WBS'!$A$1:$A$90,$N46))</x:f>
        <x:v>I20</x:v>
      </x:c>
      <x:c r="D46" s="93" t="str">
        <x:f>IF($M46="","",INDEX('전체 WBS'!$B$1:$B$90,$N46))</x:f>
        <x:v>보안·검증</x:v>
      </x:c>
      <x:c r="E46" s="93" t="str">
        <x:f>IF($M46="","",INDEX('전체 WBS'!$C$1:$C$90,$N46))</x:f>
        <x:v>S02 공격 재현·원인 분석</x:v>
      </x:c>
      <x:c r="F46" s="94" t="str">
        <x:f>IF($M46="","",INDEX('전체 WBS'!$F$1:$F$90,$N46))</x:f>
        <x:v>46324</x:v>
      </x:c>
      <x:c r="G46" s="94" t="str">
        <x:f>IF($M46="","",INDEX('전체 WBS'!$G$1:$G$90,$N46))</x:f>
        <x:v>46325</x:v>
      </x:c>
      <x:c r="H46" s="95" t="str">
        <x:f>IF($M46="","",INDEX('전체 WBS'!$H$1:$H$90,$N46))</x:f>
        <x:v>미확인</x:v>
      </x:c>
      <x:c r="I46" s="93" t="str">
        <x:f>IF($M46="","",INDEX('전체 WBS'!$I$1:$I$90,$N46))</x:f>
        <x:v>I19</x:v>
      </x:c>
      <x:c r="J46" s="93" t="str">
        <x:f>IF($M46="","",INDEX('전체 WBS'!$D$1:$D$90,$N46))</x:f>
        <x:v>M2 윤서영</x:v>
      </x:c>
      <x:c r="K46" s="93" t="str">
        <x:f>IF($M46="","",INDEX('전체 WBS'!$E$1:$E$90,$N46))</x:f>
        <x:v>M1 유용수</x:v>
      </x:c>
      <x:c r="L46" s="100" t="str">
        <x:f>IF($M46="","",HYPERLINK(INDEX('전체 WBS'!$AW$1:$AW$90,$N46),"원문"))</x:f>
        <x:v>원문</x:v>
      </x:c>
      <x:c r="M46" s="4" t="n">
        <x:f>IF(39&lt;=COUNTIFS('전체 WBS'!$AR$10:$AV$90,"&lt;1000000000"),SMALL('전체 WBS'!$AR$10:$AV$90,39),"")</x:f>
        <x:v>246324047.0</x:v>
      </x:c>
      <x:c r="N46" s="4" t="n">
        <x:f>IF($M46="","",MOD($M46,1000))</x:f>
        <x:v>47.0</x:v>
      </x:c>
      <x:c r="O46" s="4" t="n">
        <x:f>IF($M46="","",INT($M46/100000000))</x:f>
        <x:v>2.0</x:v>
      </x:c>
    </x:row>
    <x:row r="47" ht="31" customHeight="1">
      <x:c r="A47" s="93" t="str">
        <x:f>IF($M47="","",INDEX('전체 WBS'!$AR$9:$AV$9,1,$O47))</x:f>
        <x:v>M2 윤서영</x:v>
      </x:c>
      <x:c r="B47" s="93" t="str">
        <x:f>IF($M47="","",IF(ISNUMBER(SEARCH($A47,INDEX('전체 WBS'!$D$1:$D$90,$N47))),"주담당","협업"))</x:f>
        <x:v>주담당</x:v>
      </x:c>
      <x:c r="C47" s="93" t="str">
        <x:f>IF($M47="","",INDEX('전체 WBS'!$A$1:$A$90,$N47))</x:f>
        <x:v>I21.1</x:v>
      </x:c>
      <x:c r="D47" s="93" t="str">
        <x:f>IF($M47="","",INDEX('전체 WBS'!$B$1:$B$90,$N47))</x:f>
        <x:v>보안·검증</x:v>
      </x:c>
      <x:c r="E47" s="93" t="str">
        <x:f>IF($M47="","",INDEX('전체 WBS'!$C$1:$C$90,$N47))</x:f>
        <x:v>M2 TO-BE 토폴로지·보안 정책 설계</x:v>
      </x:c>
      <x:c r="F47" s="94" t="str">
        <x:f>IF($M47="","",INDEX('전체 WBS'!$F$1:$F$90,$N47))</x:f>
        <x:v>46329</x:v>
      </x:c>
      <x:c r="G47" s="94" t="str">
        <x:f>IF($M47="","",INDEX('전체 WBS'!$G$1:$G$90,$N47))</x:f>
        <x:v>46329</x:v>
      </x:c>
      <x:c r="H47" s="95" t="str">
        <x:f>IF($M47="","",INDEX('전체 WBS'!$H$1:$H$90,$N47))</x:f>
        <x:v>미확인</x:v>
      </x:c>
      <x:c r="I47" s="93" t="str">
        <x:f>IF($M47="","",INDEX('전체 WBS'!$I$1:$I$90,$N47))</x:f>
        <x:v>I20</x:v>
      </x:c>
      <x:c r="J47" s="93" t="str">
        <x:f>IF($M47="","",INDEX('전체 WBS'!$D$1:$D$90,$N47))</x:f>
        <x:v>M2 윤서영</x:v>
      </x:c>
      <x:c r="K47" s="93" t="str">
        <x:f>IF($M47="","",INDEX('전체 WBS'!$E$1:$E$90,$N47))</x:f>
        <x:v>M1 유용수 · M3 홍은서</x:v>
      </x:c>
      <x:c r="L47" s="100" t="str">
        <x:f>IF($M47="","",HYPERLINK(INDEX('전체 WBS'!$AW$1:$AW$90,$N47),"원문"))</x:f>
        <x:v>원문</x:v>
      </x:c>
      <x:c r="M47" s="4" t="n">
        <x:f>IF(40&lt;=COUNTIFS('전체 WBS'!$AR$10:$AV$90,"&lt;1000000000"),SMALL('전체 WBS'!$AR$10:$AV$90,40),"")</x:f>
        <x:v>246329054.0</x:v>
      </x:c>
      <x:c r="N47" s="4" t="n">
        <x:f>IF($M47="","",MOD($M47,1000))</x:f>
        <x:v>54.0</x:v>
      </x:c>
      <x:c r="O47" s="4" t="n">
        <x:f>IF($M47="","",INT($M47/100000000))</x:f>
        <x:v>2.0</x:v>
      </x:c>
    </x:row>
    <x:row r="48" ht="31" customHeight="1">
      <x:c r="A48" s="93" t="str">
        <x:f>IF($M48="","",INDEX('전체 WBS'!$AR$9:$AV$9,1,$O48))</x:f>
        <x:v>M2 윤서영</x:v>
      </x:c>
      <x:c r="B48" s="93" t="str">
        <x:f>IF($M48="","",IF(ISNUMBER(SEARCH($A48,INDEX('전체 WBS'!$D$1:$D$90,$N48))),"주담당","협업"))</x:f>
        <x:v>주담당</x:v>
      </x:c>
      <x:c r="C48" s="93" t="str">
        <x:f>IF($M48="","",INDEX('전체 WBS'!$A$1:$A$90,$N48))</x:f>
        <x:v>I21.2</x:v>
      </x:c>
      <x:c r="D48" s="93" t="str">
        <x:f>IF($M48="","",INDEX('전체 WBS'!$B$1:$B$90,$N48))</x:f>
        <x:v>보안·검증</x:v>
      </x:c>
      <x:c r="E48" s="93" t="str">
        <x:f>IF($M48="","",INDEX('전체 WBS'!$C$1:$C$90,$N48))</x:f>
        <x:v>독일 Wazuh 구축·대응 정책 적용</x:v>
      </x:c>
      <x:c r="F48" s="94" t="str">
        <x:f>IF($M48="","",INDEX('전체 WBS'!$F$1:$F$90,$N48))</x:f>
        <x:v>46330</x:v>
      </x:c>
      <x:c r="G48" s="94" t="str">
        <x:f>IF($M48="","",INDEX('전체 WBS'!$G$1:$G$90,$N48))</x:f>
        <x:v>46331</x:v>
      </x:c>
      <x:c r="H48" s="95" t="str">
        <x:f>IF($M48="","",INDEX('전체 WBS'!$H$1:$H$90,$N48))</x:f>
        <x:v>미확인</x:v>
      </x:c>
      <x:c r="I48" s="93" t="str">
        <x:f>IF($M48="","",INDEX('전체 WBS'!$I$1:$I$90,$N48))</x:f>
        <x:v>I21.1</x:v>
      </x:c>
      <x:c r="J48" s="93" t="str">
        <x:f>IF($M48="","",INDEX('전체 WBS'!$D$1:$D$90,$N48))</x:f>
        <x:v>M2 윤서영</x:v>
      </x:c>
      <x:c r="K48" s="93" t="str">
        <x:f>IF($M48="","",INDEX('전체 WBS'!$E$1:$E$90,$N48))</x:f>
        <x:v>M1 유용수</x:v>
      </x:c>
      <x:c r="L48" s="100" t="str">
        <x:f>IF($M48="","",HYPERLINK(INDEX('전체 WBS'!$AW$1:$AW$90,$N48),"원문"))</x:f>
        <x:v>원문</x:v>
      </x:c>
      <x:c r="M48" s="4" t="n">
        <x:f>IF(41&lt;=COUNTIFS('전체 WBS'!$AR$10:$AV$90,"&lt;1000000000"),SMALL('전체 WBS'!$AR$10:$AV$90,41),"")</x:f>
        <x:v>246330060.0</x:v>
      </x:c>
      <x:c r="N48" s="4" t="n">
        <x:f>IF($M48="","",MOD($M48,1000))</x:f>
        <x:v>60.0</x:v>
      </x:c>
      <x:c r="O48" s="4" t="n">
        <x:f>IF($M48="","",INT($M48/100000000))</x:f>
        <x:v>2.0</x:v>
      </x:c>
    </x:row>
    <x:row r="49" ht="31" customHeight="1">
      <x:c r="A49" s="93" t="str">
        <x:f>IF($M49="","",INDEX('전체 WBS'!$AR$9:$AV$9,1,$O49))</x:f>
        <x:v>M2 윤서영</x:v>
      </x:c>
      <x:c r="B49" s="93" t="str">
        <x:f>IF($M49="","",IF(ISNUMBER(SEARCH($A49,INDEX('전체 WBS'!$D$1:$D$90,$N49))),"주담당","협업"))</x:f>
        <x:v>협업</x:v>
      </x:c>
      <x:c r="C49" s="93" t="str">
        <x:f>IF($M49="","",INDEX('전체 WBS'!$A$1:$A$90,$N49))</x:f>
        <x:v>C8</x:v>
      </x:c>
      <x:c r="D49" s="93" t="str">
        <x:f>IF($M49="","",INDEX('전체 WBS'!$B$1:$B$90,$N49))</x:f>
        <x:v>개발</x:v>
      </x:c>
      <x:c r="E49" s="93" t="str">
        <x:f>IF($M49="","",INDEX('전체 WBS'!$C$1:$C$90,$N49))</x:f>
        <x:v>앱·AI·CI/CD 통합 테스트</x:v>
      </x:c>
      <x:c r="F49" s="94" t="str">
        <x:f>IF($M49="","",INDEX('전체 WBS'!$F$1:$F$90,$N49))</x:f>
        <x:v>46332</x:v>
      </x:c>
      <x:c r="G49" s="94" t="str">
        <x:f>IF($M49="","",INDEX('전체 WBS'!$G$1:$G$90,$N49))</x:f>
        <x:v>46332</x:v>
      </x:c>
      <x:c r="H49" s="95" t="str">
        <x:f>IF($M49="","",INDEX('전체 WBS'!$H$1:$H$90,$N49))</x:f>
        <x:v>미확인</x:v>
      </x:c>
      <x:c r="I49" s="93" t="str">
        <x:f>IF($M49="","",INDEX('전체 WBS'!$I$1:$I$90,$N49))</x:f>
        <x:v>D4.1, D4.2, D4.3, D5.3, D6.2, D6.3, D7</x:v>
      </x:c>
      <x:c r="J49" s="93" t="str">
        <x:f>IF($M49="","",INDEX('전체 WBS'!$D$1:$D$90,$N49))</x:f>
        <x:v>M5 유은혜(PM)</x:v>
      </x:c>
      <x:c r="K49" s="93" t="str">
        <x:f>IF($M49="","",INDEX('전체 WBS'!$E$1:$E$90,$N49))</x:f>
        <x:v>M1 유용수 · M2 윤서영
M3 홍은서</x:v>
      </x:c>
      <x:c r="L49" s="100" t="str">
        <x:f>IF($M49="","",HYPERLINK(INDEX('전체 WBS'!$AW$1:$AW$90,$N49),"원문"))</x:f>
        <x:v>원문</x:v>
      </x:c>
      <x:c r="M49" s="4" t="n">
        <x:f>IF(42&lt;=COUNTIFS('전체 WBS'!$AR$10:$AV$90,"&lt;1000000000"),SMALL('전체 WBS'!$AR$10:$AV$90,42),"")</x:f>
        <x:v>246332043.0</x:v>
      </x:c>
      <x:c r="N49" s="4" t="n">
        <x:f>IF($M49="","",MOD($M49,1000))</x:f>
        <x:v>43.0</x:v>
      </x:c>
      <x:c r="O49" s="4" t="n">
        <x:f>IF($M49="","",INT($M49/100000000))</x:f>
        <x:v>2.0</x:v>
      </x:c>
    </x:row>
    <x:row r="50" ht="31" customHeight="1">
      <x:c r="A50" s="93" t="str">
        <x:f>IF($M50="","",INDEX('전체 WBS'!$AR$9:$AV$9,1,$O50))</x:f>
        <x:v>M2 윤서영</x:v>
      </x:c>
      <x:c r="B50" s="93" t="str">
        <x:f>IF($M50="","",IF(ISNUMBER(SEARCH($A50,INDEX('전체 WBS'!$D$1:$D$90,$N50))),"주담당","협업"))</x:f>
        <x:v>주담당</x:v>
      </x:c>
      <x:c r="C50" s="93" t="str">
        <x:f>IF($M50="","",INDEX('전체 WBS'!$A$1:$A$90,$N50))</x:f>
        <x:v>I21.3</x:v>
      </x:c>
      <x:c r="D50" s="93" t="str">
        <x:f>IF($M50="","",INDEX('전체 WBS'!$B$1:$B$90,$N50))</x:f>
        <x:v>보안·검증</x:v>
      </x:c>
      <x:c r="E50" s="93" t="str">
        <x:f>IF($M50="","",INDEX('전체 WBS'!$C$1:$C$90,$N50))</x:f>
        <x:v>독일 탐지·차단 해제·정상 동작 검증</x:v>
      </x:c>
      <x:c r="F50" s="94" t="str">
        <x:f>IF($M50="","",INDEX('전체 WBS'!$F$1:$F$90,$N50))</x:f>
        <x:v>46332</x:v>
      </x:c>
      <x:c r="G50" s="94" t="str">
        <x:f>IF($M50="","",INDEX('전체 WBS'!$G$1:$G$90,$N50))</x:f>
        <x:v>46332</x:v>
      </x:c>
      <x:c r="H50" s="95" t="str">
        <x:f>IF($M50="","",INDEX('전체 WBS'!$H$1:$H$90,$N50))</x:f>
        <x:v>미확인</x:v>
      </x:c>
      <x:c r="I50" s="93" t="str">
        <x:f>IF($M50="","",INDEX('전체 WBS'!$I$1:$I$90,$N50))</x:f>
        <x:v>I21.2</x:v>
      </x:c>
      <x:c r="J50" s="93" t="str">
        <x:f>IF($M50="","",INDEX('전체 WBS'!$D$1:$D$90,$N50))</x:f>
        <x:v>M2 윤서영</x:v>
      </x:c>
      <x:c r="K50" s="93" t="str">
        <x:f>IF($M50="","",INDEX('전체 WBS'!$E$1:$E$90,$N50))</x:f>
        <x:v>M1 유용수</x:v>
      </x:c>
      <x:c r="L50" s="100" t="str">
        <x:f>IF($M50="","",HYPERLINK(INDEX('전체 WBS'!$AW$1:$AW$90,$N50),"원문"))</x:f>
        <x:v>원문</x:v>
      </x:c>
      <x:c r="M50" s="4" t="n">
        <x:f>IF(43&lt;=COUNTIFS('전체 WBS'!$AR$10:$AV$90,"&lt;1000000000"),SMALL('전체 WBS'!$AR$10:$AV$90,43),"")</x:f>
        <x:v>246332068.0</x:v>
      </x:c>
      <x:c r="N50" s="4" t="n">
        <x:f>IF($M50="","",MOD($M50,1000))</x:f>
        <x:v>68.0</x:v>
      </x:c>
      <x:c r="O50" s="4" t="n">
        <x:f>IF($M50="","",INT($M50/100000000))</x:f>
        <x:v>2.0</x:v>
      </x:c>
    </x:row>
    <x:row r="51" ht="31" customHeight="1">
      <x:c r="A51" s="93" t="str">
        <x:f>IF($M51="","",INDEX('전체 WBS'!$AR$9:$AV$9,1,$O51))</x:f>
        <x:v>M2 윤서영</x:v>
      </x:c>
      <x:c r="B51" s="93" t="str">
        <x:f>IF($M51="","",IF(ISNUMBER(SEARCH($A51,INDEX('전체 WBS'!$D$1:$D$90,$N51))),"주담당","협업"))</x:f>
        <x:v>협업</x:v>
      </x:c>
      <x:c r="C51" s="93" t="str">
        <x:f>IF($M51="","",INDEX('전체 WBS'!$A$1:$A$90,$N51))</x:f>
        <x:v>D8</x:v>
      </x:c>
      <x:c r="D51" s="93" t="str">
        <x:f>IF($M51="","",INDEX('전체 WBS'!$B$1:$B$90,$N51))</x:f>
        <x:v>개발</x:v>
      </x:c>
      <x:c r="E51" s="93" t="str">
        <x:f>IF($M51="","",INDEX('전체 WBS'!$C$1:$C$90,$N51))</x:f>
        <x:v>앱 회귀 테스트·배포 롤백 검증</x:v>
      </x:c>
      <x:c r="F51" s="94" t="str">
        <x:f>IF($M51="","",INDEX('전체 WBS'!$F$1:$F$90,$N51))</x:f>
        <x:v>46335</x:v>
      </x:c>
      <x:c r="G51" s="94" t="str">
        <x:f>IF($M51="","",INDEX('전체 WBS'!$G$1:$G$90,$N51))</x:f>
        <x:v>46336</x:v>
      </x:c>
      <x:c r="H51" s="95" t="str">
        <x:f>IF($M51="","",INDEX('전체 WBS'!$H$1:$H$90,$N51))</x:f>
        <x:v>미확인</x:v>
      </x:c>
      <x:c r="I51" s="93" t="str">
        <x:f>IF($M51="","",INDEX('전체 WBS'!$I$1:$I$90,$N51))</x:f>
        <x:v>C8, I16.3, I21.3, I26.4</x:v>
      </x:c>
      <x:c r="J51" s="93" t="str">
        <x:f>IF($M51="","",INDEX('전체 WBS'!$D$1:$D$90,$N51))</x:f>
        <x:v>M5 유은혜(PM)</x:v>
      </x:c>
      <x:c r="K51" s="93" t="str">
        <x:f>IF($M51="","",INDEX('전체 WBS'!$E$1:$E$90,$N51))</x:f>
        <x:v>M1 유용수 · M2 윤서영
M3 홍은서</x:v>
      </x:c>
      <x:c r="L51" s="100" t="str">
        <x:f>IF($M51="","",HYPERLINK(INDEX('전체 WBS'!$AW$1:$AW$90,$N51),"원문"))</x:f>
        <x:v>원문</x:v>
      </x:c>
      <x:c r="M51" s="4" t="n">
        <x:f>IF(44&lt;=COUNTIFS('전체 WBS'!$AR$10:$AV$90,"&lt;1000000000"),SMALL('전체 WBS'!$AR$10:$AV$90,44),"")</x:f>
        <x:v>246335044.0</x:v>
      </x:c>
      <x:c r="N51" s="4" t="n">
        <x:f>IF($M51="","",MOD($M51,1000))</x:f>
        <x:v>44.0</x:v>
      </x:c>
      <x:c r="O51" s="4" t="n">
        <x:f>IF($M51="","",INT($M51/100000000))</x:f>
        <x:v>2.0</x:v>
      </x:c>
    </x:row>
    <x:row r="52" ht="31" customHeight="1">
      <x:c r="A52" s="93" t="str">
        <x:f>IF($M52="","",INDEX('전체 WBS'!$AR$9:$AV$9,1,$O52))</x:f>
        <x:v>M2 윤서영</x:v>
      </x:c>
      <x:c r="B52" s="93" t="str">
        <x:f>IF($M52="","",IF(ISNUMBER(SEARCH($A52,INDEX('전체 WBS'!$D$1:$D$90,$N52))),"주담당","협업"))</x:f>
        <x:v>주담당</x:v>
      </x:c>
      <x:c r="C52" s="93" t="str">
        <x:f>IF($M52="","",INDEX('전체 WBS'!$A$1:$A$90,$N52))</x:f>
        <x:v>I22</x:v>
      </x:c>
      <x:c r="D52" s="93" t="str">
        <x:f>IF($M52="","",INDEX('전체 WBS'!$B$1:$B$90,$N52))</x:f>
        <x:v>보안·검증</x:v>
      </x:c>
      <x:c r="E52" s="93" t="str">
        <x:f>IF($M52="","",INDEX('전체 WBS'!$C$1:$C$90,$N52))</x:f>
        <x:v>S02 재공격·정상 동작 검증</x:v>
      </x:c>
      <x:c r="F52" s="94" t="str">
        <x:f>IF($M52="","",INDEX('전체 WBS'!$F$1:$F$90,$N52))</x:f>
        <x:v>46335</x:v>
      </x:c>
      <x:c r="G52" s="94" t="str">
        <x:f>IF($M52="","",INDEX('전체 WBS'!$G$1:$G$90,$N52))</x:f>
        <x:v>46336</x:v>
      </x:c>
      <x:c r="H52" s="95" t="str">
        <x:f>IF($M52="","",INDEX('전체 WBS'!$H$1:$H$90,$N52))</x:f>
        <x:v>미확인</x:v>
      </x:c>
      <x:c r="I52" s="93" t="str">
        <x:f>IF($M52="","",INDEX('전체 WBS'!$I$1:$I$90,$N52))</x:f>
        <x:v>I21.3</x:v>
      </x:c>
      <x:c r="J52" s="93" t="str">
        <x:f>IF($M52="","",INDEX('전체 WBS'!$D$1:$D$90,$N52))</x:f>
        <x:v>M2 윤서영</x:v>
      </x:c>
      <x:c r="K52" s="93" t="str">
        <x:f>IF($M52="","",INDEX('전체 WBS'!$E$1:$E$90,$N52))</x:f>
        <x:v>M1 유용수</x:v>
      </x:c>
      <x:c r="L52" s="100" t="str">
        <x:f>IF($M52="","",HYPERLINK(INDEX('전체 WBS'!$AW$1:$AW$90,$N52),"원문"))</x:f>
        <x:v>원문</x:v>
      </x:c>
      <x:c r="M52" s="4" t="n">
        <x:f>IF(45&lt;=COUNTIFS('전체 WBS'!$AR$10:$AV$90,"&lt;1000000000"),SMALL('전체 WBS'!$AR$10:$AV$90,45),"")</x:f>
        <x:v>246335073.0</x:v>
      </x:c>
      <x:c r="N52" s="4" t="n">
        <x:f>IF($M52="","",MOD($M52,1000))</x:f>
        <x:v>73.0</x:v>
      </x:c>
      <x:c r="O52" s="4" t="n">
        <x:f>IF($M52="","",INT($M52/100000000))</x:f>
        <x:v>2.0</x:v>
      </x:c>
    </x:row>
    <x:row r="53" ht="31" customHeight="1">
      <x:c r="A53" s="93" t="str">
        <x:f>IF($M53="","",INDEX('전체 WBS'!$AR$9:$AV$9,1,$O53))</x:f>
        <x:v>M2 윤서영</x:v>
      </x:c>
      <x:c r="B53" s="93" t="str">
        <x:f>IF($M53="","",IF(ISNUMBER(SEARCH($A53,INDEX('전체 WBS'!$D$1:$D$90,$N53))),"주담당","협업"))</x:f>
        <x:v>주담당</x:v>
      </x:c>
      <x:c r="C53" s="93" t="str">
        <x:f>IF($M53="","",INDEX('전체 WBS'!$A$1:$A$90,$N53))</x:f>
        <x:v>I23</x:v>
      </x:c>
      <x:c r="D53" s="93" t="str">
        <x:f>IF($M53="","",INDEX('전체 WBS'!$B$1:$B$90,$N53))</x:f>
        <x:v>공동·관리</x:v>
      </x:c>
      <x:c r="E53" s="93" t="str">
        <x:f>IF($M53="","",INDEX('전체 WBS'!$C$1:$C$90,$N53))</x:f>
        <x:v>M2 결과·발표자료 정리</x:v>
      </x:c>
      <x:c r="F53" s="94" t="str">
        <x:f>IF($M53="","",INDEX('전체 WBS'!$F$1:$F$90,$N53))</x:f>
        <x:v>46337</x:v>
      </x:c>
      <x:c r="G53" s="94" t="str">
        <x:f>IF($M53="","",INDEX('전체 WBS'!$G$1:$G$90,$N53))</x:f>
        <x:v>46338</x:v>
      </x:c>
      <x:c r="H53" s="95" t="str">
        <x:f>IF($M53="","",INDEX('전체 WBS'!$H$1:$H$90,$N53))</x:f>
        <x:v>미확인</x:v>
      </x:c>
      <x:c r="I53" s="93" t="str">
        <x:f>IF($M53="","",INDEX('전체 WBS'!$I$1:$I$90,$N53))</x:f>
        <x:v>I22</x:v>
      </x:c>
      <x:c r="J53" s="93" t="str">
        <x:f>IF($M53="","",INDEX('전체 WBS'!$D$1:$D$90,$N53))</x:f>
        <x:v>M2 윤서영</x:v>
      </x:c>
      <x:c r="K53" s="93" t="str">
        <x:f>IF($M53="","",INDEX('전체 WBS'!$E$1:$E$90,$N53))</x:f>
        <x:v>M5 유은혜</x:v>
      </x:c>
      <x:c r="L53" s="100" t="str">
        <x:f>IF($M53="","",HYPERLINK(INDEX('전체 WBS'!$AW$1:$AW$90,$N53),"원문"))</x:f>
        <x:v>원문</x:v>
      </x:c>
      <x:c r="M53" s="4" t="n">
        <x:f>IF(46&lt;=COUNTIFS('전체 WBS'!$AR$10:$AV$90,"&lt;1000000000"),SMALL('전체 WBS'!$AR$10:$AV$90,46),"")</x:f>
        <x:v>246337082.0</x:v>
      </x:c>
      <x:c r="N53" s="4" t="n">
        <x:f>IF($M53="","",MOD($M53,1000))</x:f>
        <x:v>82.0</x:v>
      </x:c>
      <x:c r="O53" s="4" t="n">
        <x:f>IF($M53="","",INT($M53/100000000))</x:f>
        <x:v>2.0</x:v>
      </x:c>
    </x:row>
    <x:row r="54" ht="31" customHeight="1">
      <x:c r="A54" s="93" t="str">
        <x:f>IF($M54="","",INDEX('전체 WBS'!$AR$9:$AV$9,1,$O54))</x:f>
        <x:v>M2 윤서영</x:v>
      </x:c>
      <x:c r="B54" s="93" t="str">
        <x:f>IF($M54="","",IF(ISNUMBER(SEARCH($A54,INDEX('전체 WBS'!$D$1:$D$90,$N54))),"주담당","협업"))</x:f>
        <x:v>협업</x:v>
      </x:c>
      <x:c r="C54" s="93" t="str">
        <x:f>IF($M54="","",INDEX('전체 WBS'!$A$1:$A$90,$N54))</x:f>
        <x:v>C13.2</x:v>
      </x:c>
      <x:c r="D54" s="93" t="str">
        <x:f>IF($M54="","",INDEX('전체 WBS'!$B$1:$B$90,$N54))</x:f>
        <x:v>공동·관리</x:v>
      </x:c>
      <x:c r="E54" s="93" t="str">
        <x:f>IF($M54="","",INDEX('전체 WBS'!$C$1:$C$90,$N54))</x:f>
        <x:v>전원 리허설·환경 복구 확인</x:v>
      </x:c>
      <x:c r="F54" s="94" t="str">
        <x:f>IF($M54="","",INDEX('전체 WBS'!$F$1:$F$90,$N54))</x:f>
        <x:v>46339</x:v>
      </x:c>
      <x:c r="G54" s="94" t="str">
        <x:f>IF($M54="","",INDEX('전체 WBS'!$G$1:$G$90,$N54))</x:f>
        <x:v>46339</x:v>
      </x:c>
      <x:c r="H54" s="95" t="str">
        <x:f>IF($M54="","",INDEX('전체 WBS'!$H$1:$H$90,$N54))</x:f>
        <x:v>미확인</x:v>
      </x:c>
      <x:c r="I54" s="93" t="str">
        <x:f>IF($M54="","",INDEX('전체 WBS'!$I$1:$I$90,$N54))</x:f>
        <x:v>C13.1</x:v>
      </x:c>
      <x:c r="J54" s="93" t="str">
        <x:f>IF($M54="","",INDEX('전체 WBS'!$D$1:$D$90,$N54))</x:f>
        <x:v>M5 유은혜(PM)</x:v>
      </x:c>
      <x:c r="K54" s="93" t="str">
        <x:f>IF($M54="","",INDEX('전체 WBS'!$E$1:$E$90,$N54))</x:f>
        <x:v>M1 유용수 · M2 윤서영
M3 홍은서 · M4 박진혁</x:v>
      </x:c>
      <x:c r="L54" s="100" t="str">
        <x:f>IF($M54="","",HYPERLINK(INDEX('전체 WBS'!$AW$1:$AW$90,$N54),"원문"))</x:f>
        <x:v>원문</x:v>
      </x:c>
      <x:c r="M54" s="4" t="n">
        <x:f>IF(47&lt;=COUNTIFS('전체 WBS'!$AR$10:$AV$90,"&lt;1000000000"),SMALL('전체 WBS'!$AR$10:$AV$90,47),"")</x:f>
        <x:v>246339087.0</x:v>
      </x:c>
      <x:c r="N54" s="4" t="n">
        <x:f>IF($M54="","",MOD($M54,1000))</x:f>
        <x:v>87.0</x:v>
      </x:c>
      <x:c r="O54" s="4" t="n">
        <x:f>IF($M54="","",INT($M54/100000000))</x:f>
        <x:v>2.0</x:v>
      </x:c>
    </x:row>
    <x:row r="55" ht="31" customHeight="1">
      <x:c r="A55" s="93" t="str">
        <x:f>IF($M55="","",INDEX('전체 WBS'!$AR$9:$AV$9,1,$O55))</x:f>
        <x:v>M2 윤서영</x:v>
      </x:c>
      <x:c r="B55" s="93" t="str">
        <x:f>IF($M55="","",IF(ISNUMBER(SEARCH($A55,INDEX('전체 WBS'!$D$1:$D$90,$N55))),"주담당","협업"))</x:f>
        <x:v>협업</x:v>
      </x:c>
      <x:c r="C55" s="93" t="str">
        <x:f>IF($M55="","",INDEX('전체 WBS'!$A$1:$A$90,$N55))</x:f>
        <x:v>C13.4</x:v>
      </x:c>
      <x:c r="D55" s="93" t="str">
        <x:f>IF($M55="","",INDEX('전체 WBS'!$B$1:$B$90,$N55))</x:f>
        <x:v>공동·관리</x:v>
      </x:c>
      <x:c r="E55" s="93" t="str">
        <x:f>IF($M55="","",INDEX('전체 WBS'!$C$1:$C$90,$N55))</x:f>
        <x:v>최종 발표·실습 자원 정리</x:v>
      </x:c>
      <x:c r="F55" s="94" t="str">
        <x:f>IF($M55="","",INDEX('전체 WBS'!$F$1:$F$90,$N55))</x:f>
        <x:v>46342</x:v>
      </x:c>
      <x:c r="G55" s="94" t="str">
        <x:f>IF($M55="","",INDEX('전체 WBS'!$G$1:$G$90,$N55))</x:f>
        <x:v>46342</x:v>
      </x:c>
      <x:c r="H55" s="95" t="str">
        <x:f>IF($M55="","",INDEX('전체 WBS'!$H$1:$H$90,$N55))</x:f>
        <x:v>미확인</x:v>
      </x:c>
      <x:c r="I55" s="93" t="str">
        <x:f>IF($M55="","",INDEX('전체 WBS'!$I$1:$I$90,$N55))</x:f>
        <x:v>C13.3</x:v>
      </x:c>
      <x:c r="J55" s="93" t="str">
        <x:f>IF($M55="","",INDEX('전체 WBS'!$D$1:$D$90,$N55))</x:f>
        <x:v>M5 유은혜(PM)</x:v>
      </x:c>
      <x:c r="K55" s="93" t="str">
        <x:f>IF($M55="","",INDEX('전체 WBS'!$E$1:$E$90,$N55))</x:f>
        <x:v>M1 유용수 · M2 윤서영
M3 홍은서 · M4 박진혁</x:v>
      </x:c>
      <x:c r="L55" s="100" t="str">
        <x:f>IF($M55="","",HYPERLINK(INDEX('전체 WBS'!$AW$1:$AW$90,$N55),"원문"))</x:f>
        <x:v>원문</x:v>
      </x:c>
      <x:c r="M55" s="4" t="n">
        <x:f>IF(48&lt;=COUNTIFS('전체 WBS'!$AR$10:$AV$90,"&lt;1000000000"),SMALL('전체 WBS'!$AR$10:$AV$90,48),"")</x:f>
        <x:v>246342089.0</x:v>
      </x:c>
      <x:c r="N55" s="4" t="n">
        <x:f>IF($M55="","",MOD($M55,1000))</x:f>
        <x:v>89.0</x:v>
      </x:c>
      <x:c r="O55" s="4" t="n">
        <x:f>IF($M55="","",INT($M55/100000000))</x:f>
        <x:v>2.0</x:v>
      </x:c>
    </x:row>
    <x:row r="56" ht="31" customHeight="1">
      <x:c r="A56" s="93" t="str">
        <x:f>IF($M56="","",INDEX('전체 WBS'!$AR$9:$AV$9,1,$O56))</x:f>
        <x:v>M2 윤서영</x:v>
      </x:c>
      <x:c r="B56" s="93" t="str">
        <x:f>IF($M56="","",IF(ISNUMBER(SEARCH($A56,INDEX('전체 WBS'!$D$1:$D$90,$N56))),"주담당","협업"))</x:f>
        <x:v>주담당</x:v>
      </x:c>
      <x:c r="C56" s="93" t="str">
        <x:f>IF($M56="","",INDEX('전체 WBS'!$A$1:$A$90,$N56))</x:f>
        <x:v>MX1</x:v>
      </x:c>
      <x:c r="D56" s="93" t="str">
        <x:f>IF($M56="","",INDEX('전체 WBS'!$B$1:$B$90,$N56))</x:f>
        <x:v>공동·관리</x:v>
      </x:c>
      <x:c r="E56" s="93" t="str">
        <x:f>IF($M56="","",INDEX('전체 WBS'!$C$1:$C$90,$N56))</x:f>
        <x:v>M1 후속 실장비 네트워크 설계</x:v>
      </x:c>
      <x:c r="F56" s="94" t="str">
        <x:f>IF($M56="","",INDEX('전체 WBS'!$F$1:$F$90,$N56))</x:f>
        <x:v>확인 필요</x:v>
      </x:c>
      <x:c r="G56" s="94" t="str">
        <x:f>IF($M56="","",INDEX('전체 WBS'!$G$1:$G$90,$N56))</x:f>
        <x:v>확인 필요</x:v>
      </x:c>
      <x:c r="H56" s="95" t="str">
        <x:f>IF($M56="","",INDEX('전체 WBS'!$H$1:$H$90,$N56))</x:f>
        <x:v>미확인</x:v>
      </x:c>
      <x:c r="I56" s="93" t="str">
        <x:f>IF($M56="","",INDEX('전체 WBS'!$I$1:$I$90,$N56))</x:f>
        <x:v>—</x:v>
      </x:c>
      <x:c r="J56" s="93" t="str">
        <x:f>IF($M56="","",INDEX('전체 WBS'!$D$1:$D$90,$N56))</x:f>
        <x:v>M2 윤서영</x:v>
      </x:c>
      <x:c r="K56" s="93" t="str">
        <x:f>IF($M56="","",INDEX('전체 WBS'!$E$1:$E$90,$N56))</x:f>
        <x:v>M4 박진혁</x:v>
      </x:c>
      <x:c r="L56" s="100" t="str">
        <x:f>IF($M56="","",HYPERLINK(INDEX('전체 WBS'!$AW$1:$AW$90,$N56),"원문"))</x:f>
        <x:v>원문</x:v>
      </x:c>
      <x:c r="M56" s="4" t="n">
        <x:f>IF(49&lt;=COUNTIFS('전체 WBS'!$AR$10:$AV$90,"&lt;1000000000"),SMALL('전체 WBS'!$AR$10:$AV$90,49),"")</x:f>
        <x:v>299999090.0</x:v>
      </x:c>
      <x:c r="N56" s="4" t="n">
        <x:f>IF($M56="","",MOD($M56,1000))</x:f>
        <x:v>90.0</x:v>
      </x:c>
      <x:c r="O56" s="4" t="n">
        <x:f>IF($M56="","",INT($M56/100000000))</x:f>
        <x:v>2.0</x:v>
      </x:c>
    </x:row>
    <x:row r="57" ht="31" customHeight="1">
      <x:c r="A57" s="93" t="str">
        <x:f>IF($M57="","",INDEX('전체 WBS'!$AR$9:$AV$9,1,$O57))</x:f>
        <x:v>M3 홍은서</x:v>
      </x:c>
      <x:c r="B57" s="93" t="str">
        <x:f>IF($M57="","",IF(ISNUMBER(SEARCH($A57,INDEX('전체 WBS'!$D$1:$D$90,$N57))),"주담당","협업"))</x:f>
        <x:v>협업</x:v>
      </x:c>
      <x:c r="C57" s="93" t="str">
        <x:f>IF($M57="","",INDEX('전체 WBS'!$A$1:$A$90,$N57))</x:f>
        <x:v>I01</x:v>
      </x:c>
      <x:c r="D57" s="93" t="str">
        <x:f>IF($M57="","",INDEX('전체 WBS'!$B$1:$B$90,$N57))</x:f>
        <x:v>인프라</x:v>
      </x:c>
      <x:c r="E57" s="93" t="str">
        <x:f>IF($M57="","",INDEX('전체 WBS'!$C$1:$C$90,$N57))</x:f>
        <x:v>한국 본사 AS-IS 토폴로지 작성</x:v>
      </x:c>
      <x:c r="F57" s="94" t="str">
        <x:f>IF($M57="","",INDEX('전체 WBS'!$F$1:$F$90,$N57))</x:f>
        <x:v>46315</x:v>
      </x:c>
      <x:c r="G57" s="94" t="str">
        <x:f>IF($M57="","",INDEX('전체 WBS'!$G$1:$G$90,$N57))</x:f>
        <x:v>46316</x:v>
      </x:c>
      <x:c r="H57" s="95" t="str">
        <x:f>IF($M57="","",INDEX('전체 WBS'!$H$1:$H$90,$N57))</x:f>
        <x:v>완료</x:v>
      </x:c>
      <x:c r="I57" s="93" t="str">
        <x:f>IF($M57="","",INDEX('전체 WBS'!$I$1:$I$90,$N57))</x:f>
        <x:v>—</x:v>
      </x:c>
      <x:c r="J57" s="93" t="str">
        <x:f>IF($M57="","",INDEX('전체 WBS'!$D$1:$D$90,$N57))</x:f>
        <x:v>M1 유용수</x:v>
      </x:c>
      <x:c r="K57" s="93" t="str">
        <x:f>IF($M57="","",INDEX('전체 WBS'!$E$1:$E$90,$N57))</x:f>
        <x:v>M3 홍은서</x:v>
      </x:c>
      <x:c r="L57" s="100" t="str">
        <x:f>IF($M57="","",HYPERLINK(INDEX('전체 WBS'!$AW$1:$AW$90,$N57),"원문"))</x:f>
        <x:v>원문</x:v>
      </x:c>
      <x:c r="M57" s="4" t="n">
        <x:f>IF(50&lt;=COUNTIFS('전체 WBS'!$AR$10:$AV$90,"&lt;1000000000"),SMALL('전체 WBS'!$AR$10:$AV$90,50),"")</x:f>
        <x:v>346315011.0</x:v>
      </x:c>
      <x:c r="N57" s="4" t="n">
        <x:f>IF($M57="","",MOD($M57,1000))</x:f>
        <x:v>11.0</x:v>
      </x:c>
      <x:c r="O57" s="4" t="n">
        <x:f>IF($M57="","",INT($M57/100000000))</x:f>
        <x:v>3.0</x:v>
      </x:c>
    </x:row>
    <x:row r="58" ht="31" customHeight="1">
      <x:c r="A58" s="93" t="str">
        <x:f>IF($M58="","",INDEX('전체 WBS'!$AR$9:$AV$9,1,$O58))</x:f>
        <x:v>M3 홍은서</x:v>
      </x:c>
      <x:c r="B58" s="93" t="str">
        <x:f>IF($M58="","",IF(ISNUMBER(SEARCH($A58,INDEX('전체 WBS'!$D$1:$D$90,$N58))),"주담당","협업"))</x:f>
        <x:v>협업</x:v>
      </x:c>
      <x:c r="C58" s="93" t="str">
        <x:f>IF($M58="","",INDEX('전체 WBS'!$A$1:$A$90,$N58))</x:f>
        <x:v>I02</x:v>
      </x:c>
      <x:c r="D58" s="93" t="str">
        <x:f>IF($M58="","",INDEX('전체 WBS'!$B$1:$B$90,$N58))</x:f>
        <x:v>인프라</x:v>
      </x:c>
      <x:c r="E58" s="93" t="str">
        <x:f>IF($M58="","",INDEX('전체 WBS'!$C$1:$C$90,$N58))</x:f>
        <x:v>독일 AS-IS 토폴로지 작성</x:v>
      </x:c>
      <x:c r="F58" s="94" t="str">
        <x:f>IF($M58="","",INDEX('전체 WBS'!$F$1:$F$90,$N58))</x:f>
        <x:v>46315</x:v>
      </x:c>
      <x:c r="G58" s="94" t="str">
        <x:f>IF($M58="","",INDEX('전체 WBS'!$G$1:$G$90,$N58))</x:f>
        <x:v>46316</x:v>
      </x:c>
      <x:c r="H58" s="95" t="str">
        <x:f>IF($M58="","",INDEX('전체 WBS'!$H$1:$H$90,$N58))</x:f>
        <x:v>검토 중</x:v>
      </x:c>
      <x:c r="I58" s="93" t="str">
        <x:f>IF($M58="","",INDEX('전체 WBS'!$I$1:$I$90,$N58))</x:f>
        <x:v>—</x:v>
      </x:c>
      <x:c r="J58" s="93" t="str">
        <x:f>IF($M58="","",INDEX('전체 WBS'!$D$1:$D$90,$N58))</x:f>
        <x:v>M2 윤서영</x:v>
      </x:c>
      <x:c r="K58" s="93" t="str">
        <x:f>IF($M58="","",INDEX('전체 WBS'!$E$1:$E$90,$N58))</x:f>
        <x:v>M3 홍은서</x:v>
      </x:c>
      <x:c r="L58" s="100" t="str">
        <x:f>IF($M58="","",HYPERLINK(INDEX('전체 WBS'!$AW$1:$AW$90,$N58),"원문"))</x:f>
        <x:v>원문</x:v>
      </x:c>
      <x:c r="M58" s="4" t="n">
        <x:f>IF(51&lt;=COUNTIFS('전체 WBS'!$AR$10:$AV$90,"&lt;1000000000"),SMALL('전체 WBS'!$AR$10:$AV$90,51),"")</x:f>
        <x:v>346315012.0</x:v>
      </x:c>
      <x:c r="N58" s="4" t="n">
        <x:f>IF($M58="","",MOD($M58,1000))</x:f>
        <x:v>12.0</x:v>
      </x:c>
      <x:c r="O58" s="4" t="n">
        <x:f>IF($M58="","",INT($M58/100000000))</x:f>
        <x:v>3.0</x:v>
      </x:c>
    </x:row>
    <x:row r="59" ht="31" customHeight="1">
      <x:c r="A59" s="93" t="str">
        <x:f>IF($M59="","",INDEX('전체 WBS'!$AR$9:$AV$9,1,$O59))</x:f>
        <x:v>M3 홍은서</x:v>
      </x:c>
      <x:c r="B59" s="93" t="str">
        <x:f>IF($M59="","",IF(ISNUMBER(SEARCH($A59,INDEX('전체 WBS'!$D$1:$D$90,$N59))),"주담당","협업"))</x:f>
        <x:v>주담당</x:v>
      </x:c>
      <x:c r="C59" s="93" t="str">
        <x:f>IF($M59="","",INDEX('전체 WBS'!$A$1:$A$90,$N59))</x:f>
        <x:v>I03</x:v>
      </x:c>
      <x:c r="D59" s="93" t="str">
        <x:f>IF($M59="","",INDEX('전체 WBS'!$B$1:$B$90,$N59))</x:f>
        <x:v>인프라</x:v>
      </x:c>
      <x:c r="E59" s="93" t="str">
        <x:f>IF($M59="","",INDEX('전체 WBS'!$C$1:$C$90,$N59))</x:f>
        <x:v>한국 서비스망 AS-IS 토폴로지 작성</x:v>
      </x:c>
      <x:c r="F59" s="94" t="str">
        <x:f>IF($M59="","",INDEX('전체 WBS'!$F$1:$F$90,$N59))</x:f>
        <x:v>46315</x:v>
      </x:c>
      <x:c r="G59" s="94" t="str">
        <x:f>IF($M59="","",INDEX('전체 WBS'!$G$1:$G$90,$N59))</x:f>
        <x:v>46316</x:v>
      </x:c>
      <x:c r="H59" s="95" t="str">
        <x:f>IF($M59="","",INDEX('전체 WBS'!$H$1:$H$90,$N59))</x:f>
        <x:v>완료</x:v>
      </x:c>
      <x:c r="I59" s="93" t="str">
        <x:f>IF($M59="","",INDEX('전체 WBS'!$I$1:$I$90,$N59))</x:f>
        <x:v>—</x:v>
      </x:c>
      <x:c r="J59" s="93" t="str">
        <x:f>IF($M59="","",INDEX('전체 WBS'!$D$1:$D$90,$N59))</x:f>
        <x:v>M3 홍은서(PL)</x:v>
      </x:c>
      <x:c r="K59" s="93" t="str">
        <x:f>IF($M59="","",INDEX('전체 WBS'!$E$1:$E$90,$N59))</x:f>
        <x:v>—</x:v>
      </x:c>
      <x:c r="L59" s="100" t="str">
        <x:f>IF($M59="","",HYPERLINK(INDEX('전체 WBS'!$AW$1:$AW$90,$N59),"원문"))</x:f>
        <x:v>원문</x:v>
      </x:c>
      <x:c r="M59" s="4" t="n">
        <x:f>IF(52&lt;=COUNTIFS('전체 WBS'!$AR$10:$AV$90,"&lt;1000000000"),SMALL('전체 WBS'!$AR$10:$AV$90,52),"")</x:f>
        <x:v>346315013.0</x:v>
      </x:c>
      <x:c r="N59" s="4" t="n">
        <x:f>IF($M59="","",MOD($M59,1000))</x:f>
        <x:v>13.0</x:v>
      </x:c>
      <x:c r="O59" s="4" t="n">
        <x:f>IF($M59="","",INT($M59/100000000))</x:f>
        <x:v>3.0</x:v>
      </x:c>
    </x:row>
    <x:row r="60" ht="31" customHeight="1">
      <x:c r="A60" s="93" t="str">
        <x:f>IF($M60="","",INDEX('전체 WBS'!$AR$9:$AV$9,1,$O60))</x:f>
        <x:v>M3 홍은서</x:v>
      </x:c>
      <x:c r="B60" s="93" t="str">
        <x:f>IF($M60="","",IF(ISNUMBER(SEARCH($A60,INDEX('전체 WBS'!$D$1:$D$90,$N60))),"주담당","협업"))</x:f>
        <x:v>협업</x:v>
      </x:c>
      <x:c r="C60" s="93" t="str">
        <x:f>IF($M60="","",INDEX('전체 WBS'!$A$1:$A$90,$N60))</x:f>
        <x:v>I04</x:v>
      </x:c>
      <x:c r="D60" s="93" t="str">
        <x:f>IF($M60="","",INDEX('전체 WBS'!$B$1:$B$90,$N60))</x:f>
        <x:v>인프라</x:v>
      </x:c>
      <x:c r="E60" s="93" t="str">
        <x:f>IF($M60="","",INDEX('전체 WBS'!$C$1:$C$90,$N60))</x:f>
        <x:v>백업·DR망 AS-IS 토폴로지 작성</x:v>
      </x:c>
      <x:c r="F60" s="94" t="str">
        <x:f>IF($M60="","",INDEX('전체 WBS'!$F$1:$F$90,$N60))</x:f>
        <x:v>46315</x:v>
      </x:c>
      <x:c r="G60" s="94" t="str">
        <x:f>IF($M60="","",INDEX('전체 WBS'!$G$1:$G$90,$N60))</x:f>
        <x:v>46316</x:v>
      </x:c>
      <x:c r="H60" s="95" t="str">
        <x:f>IF($M60="","",INDEX('전체 WBS'!$H$1:$H$90,$N60))</x:f>
        <x:v>완료</x:v>
      </x:c>
      <x:c r="I60" s="93" t="str">
        <x:f>IF($M60="","",INDEX('전체 WBS'!$I$1:$I$90,$N60))</x:f>
        <x:v>—</x:v>
      </x:c>
      <x:c r="J60" s="93" t="str">
        <x:f>IF($M60="","",INDEX('전체 WBS'!$D$1:$D$90,$N60))</x:f>
        <x:v>M4 박진혁</x:v>
      </x:c>
      <x:c r="K60" s="93" t="str">
        <x:f>IF($M60="","",INDEX('전체 WBS'!$E$1:$E$90,$N60))</x:f>
        <x:v>M3 홍은서</x:v>
      </x:c>
      <x:c r="L60" s="100" t="str">
        <x:f>IF($M60="","",HYPERLINK(INDEX('전체 WBS'!$AW$1:$AW$90,$N60),"원문"))</x:f>
        <x:v>원문</x:v>
      </x:c>
      <x:c r="M60" s="4" t="n">
        <x:f>IF(53&lt;=COUNTIFS('전체 WBS'!$AR$10:$AV$90,"&lt;1000000000"),SMALL('전체 WBS'!$AR$10:$AV$90,53),"")</x:f>
        <x:v>346315014.0</x:v>
      </x:c>
      <x:c r="N60" s="4" t="n">
        <x:f>IF($M60="","",MOD($M60,1000))</x:f>
        <x:v>14.0</x:v>
      </x:c>
      <x:c r="O60" s="4" t="n">
        <x:f>IF($M60="","",INT($M60/100000000))</x:f>
        <x:v>3.0</x:v>
      </x:c>
    </x:row>
    <x:row r="61" ht="31" customHeight="1">
      <x:c r="A61" s="93" t="str">
        <x:f>IF($M61="","",INDEX('전체 WBS'!$AR$9:$AV$9,1,$O61))</x:f>
        <x:v>M3 홍은서</x:v>
      </x:c>
      <x:c r="B61" s="93" t="str">
        <x:f>IF($M61="","",IF(ISNUMBER(SEARCH($A61,INDEX('전체 WBS'!$D$1:$D$90,$N61))),"주담당","협업"))</x:f>
        <x:v>협업</x:v>
      </x:c>
      <x:c r="C61" s="93" t="str">
        <x:f>IF($M61="","",INDEX('전체 WBS'!$A$1:$A$90,$N61))</x:f>
        <x:v>I05</x:v>
      </x:c>
      <x:c r="D61" s="93" t="str">
        <x:f>IF($M61="","",INDEX('전체 WBS'!$B$1:$B$90,$N61))</x:f>
        <x:v>인프라</x:v>
      </x:c>
      <x:c r="E61" s="93" t="str">
        <x:f>IF($M61="","",INDEX('전체 WBS'!$C$1:$C$90,$N61))</x:f>
        <x:v>캐나다 AS-IS 토폴로지 작성</x:v>
      </x:c>
      <x:c r="F61" s="94" t="str">
        <x:f>IF($M61="","",INDEX('전체 WBS'!$F$1:$F$90,$N61))</x:f>
        <x:v>46315</x:v>
      </x:c>
      <x:c r="G61" s="94" t="str">
        <x:f>IF($M61="","",INDEX('전체 WBS'!$G$1:$G$90,$N61))</x:f>
        <x:v>46316</x:v>
      </x:c>
      <x:c r="H61" s="95" t="str">
        <x:f>IF($M61="","",INDEX('전체 WBS'!$H$1:$H$90,$N61))</x:f>
        <x:v>완료</x:v>
      </x:c>
      <x:c r="I61" s="93" t="str">
        <x:f>IF($M61="","",INDEX('전체 WBS'!$I$1:$I$90,$N61))</x:f>
        <x:v>—</x:v>
      </x:c>
      <x:c r="J61" s="93" t="str">
        <x:f>IF($M61="","",INDEX('전체 WBS'!$D$1:$D$90,$N61))</x:f>
        <x:v>M5 유은혜(PM)</x:v>
      </x:c>
      <x:c r="K61" s="93" t="str">
        <x:f>IF($M61="","",INDEX('전체 WBS'!$E$1:$E$90,$N61))</x:f>
        <x:v>M3 홍은서</x:v>
      </x:c>
      <x:c r="L61" s="100" t="str">
        <x:f>IF($M61="","",HYPERLINK(INDEX('전체 WBS'!$AW$1:$AW$90,$N61),"원문"))</x:f>
        <x:v>원문</x:v>
      </x:c>
      <x:c r="M61" s="4" t="n">
        <x:f>IF(54&lt;=COUNTIFS('전체 WBS'!$AR$10:$AV$90,"&lt;1000000000"),SMALL('전체 WBS'!$AR$10:$AV$90,54),"")</x:f>
        <x:v>346315015.0</x:v>
      </x:c>
      <x:c r="N61" s="4" t="n">
        <x:f>IF($M61="","",MOD($M61,1000))</x:f>
        <x:v>15.0</x:v>
      </x:c>
      <x:c r="O61" s="4" t="n">
        <x:f>IF($M61="","",INT($M61/100000000))</x:f>
        <x:v>3.0</x:v>
      </x:c>
    </x:row>
    <x:row r="62" ht="31" customHeight="1">
      <x:c r="A62" s="93" t="str">
        <x:f>IF($M62="","",INDEX('전체 WBS'!$AR$9:$AV$9,1,$O62))</x:f>
        <x:v>M3 홍은서</x:v>
      </x:c>
      <x:c r="B62" s="93" t="str">
        <x:f>IF($M62="","",IF(ISNUMBER(SEARCH($A62,INDEX('전체 WBS'!$D$1:$D$90,$N62))),"주담당","협업"))</x:f>
        <x:v>협업</x:v>
      </x:c>
      <x:c r="C62" s="93" t="str">
        <x:f>IF($M62="","",INDEX('전체 WBS'!$A$1:$A$90,$N62))</x:f>
        <x:v>C6.1</x:v>
      </x:c>
      <x:c r="D62" s="93" t="str">
        <x:f>IF($M62="","",INDEX('전체 WBS'!$B$1:$B$90,$N62))</x:f>
        <x:v>공동·관리</x:v>
      </x:c>
      <x:c r="E62" s="93" t="str">
        <x:f>IF($M62="","",INDEX('전체 WBS'!$C$1:$C$90,$N62))</x:f>
        <x:v>IP·구축 환경 기술 검토·계획서 개정</x:v>
      </x:c>
      <x:c r="F62" s="94" t="str">
        <x:f>IF($M62="","",INDEX('전체 WBS'!$F$1:$F$90,$N62))</x:f>
        <x:v>46316</x:v>
      </x:c>
      <x:c r="G62" s="94" t="str">
        <x:f>IF($M62="","",INDEX('전체 WBS'!$G$1:$G$90,$N62))</x:f>
        <x:v>46318</x:v>
      </x:c>
      <x:c r="H62" s="95" t="str">
        <x:f>IF($M62="","",INDEX('전체 WBS'!$H$1:$H$90,$N62))</x:f>
        <x:v>진행 중</x:v>
      </x:c>
      <x:c r="I62" s="93" t="str">
        <x:f>IF($M62="","",INDEX('전체 WBS'!$I$1:$I$90,$N62))</x:f>
        <x:v>I01, I02, I03, I04, I05</x:v>
      </x:c>
      <x:c r="J62" s="93" t="str">
        <x:f>IF($M62="","",INDEX('전체 WBS'!$D$1:$D$90,$N62))</x:f>
        <x:v>M5 유은혜(PM)</x:v>
      </x:c>
      <x:c r="K62" s="93" t="str">
        <x:f>IF($M62="","",INDEX('전체 WBS'!$E$1:$E$90,$N62))</x:f>
        <x:v>M3 홍은서 · M1 유용수
M2 윤서영 · M4 박진혁</x:v>
      </x:c>
      <x:c r="L62" s="100" t="str">
        <x:f>IF($M62="","",HYPERLINK(INDEX('전체 WBS'!$AW$1:$AW$90,$N62),"원문"))</x:f>
        <x:v>원문</x:v>
      </x:c>
      <x:c r="M62" s="4" t="n">
        <x:f>IF(55&lt;=COUNTIFS('전체 WBS'!$AR$10:$AV$90,"&lt;1000000000"),SMALL('전체 WBS'!$AR$10:$AV$90,55),"")</x:f>
        <x:v>346316016.0</x:v>
      </x:c>
      <x:c r="N62" s="4" t="n">
        <x:f>IF($M62="","",MOD($M62,1000))</x:f>
        <x:v>16.0</x:v>
      </x:c>
      <x:c r="O62" s="4" t="n">
        <x:f>IF($M62="","",INT($M62/100000000))</x:f>
        <x:v>3.0</x:v>
      </x:c>
    </x:row>
    <x:row r="63" ht="31" customHeight="1">
      <x:c r="A63" s="93" t="str">
        <x:f>IF($M63="","",INDEX('전체 WBS'!$AR$9:$AV$9,1,$O63))</x:f>
        <x:v>M3 홍은서</x:v>
      </x:c>
      <x:c r="B63" s="93" t="str">
        <x:f>IF($M63="","",IF(ISNUMBER(SEARCH($A63,INDEX('전체 WBS'!$D$1:$D$90,$N63))),"주담당","협업"))</x:f>
        <x:v>주담당</x:v>
      </x:c>
      <x:c r="C63" s="93" t="str">
        <x:f>IF($M63="","",INDEX('전체 WBS'!$A$1:$A$90,$N63))</x:f>
        <x:v>I24</x:v>
      </x:c>
      <x:c r="D63" s="93" t="str">
        <x:f>IF($M63="","",INDEX('전체 WBS'!$B$1:$B$90,$N63))</x:f>
        <x:v>인프라</x:v>
      </x:c>
      <x:c r="E63" s="93" t="str">
        <x:f>IF($M63="","",INDEX('전체 WBS'!$C$1:$C$90,$N63))</x:f>
        <x:v>한국 웹·K8s·DB 환경 구축</x:v>
      </x:c>
      <x:c r="F63" s="94" t="str">
        <x:f>IF($M63="","",INDEX('전체 WBS'!$F$1:$F$90,$N63))</x:f>
        <x:v>46316</x:v>
      </x:c>
      <x:c r="G63" s="94" t="str">
        <x:f>IF($M63="","",INDEX('전체 WBS'!$G$1:$G$90,$N63))</x:f>
        <x:v>46323</x:v>
      </x:c>
      <x:c r="H63" s="95" t="str">
        <x:f>IF($M63="","",INDEX('전체 WBS'!$H$1:$H$90,$N63))</x:f>
        <x:v>미확인</x:v>
      </x:c>
      <x:c r="I63" s="93" t="str">
        <x:f>IF($M63="","",INDEX('전체 WBS'!$I$1:$I$90,$N63))</x:f>
        <x:v>I03, C6.1</x:v>
      </x:c>
      <x:c r="J63" s="93" t="str">
        <x:f>IF($M63="","",INDEX('전체 WBS'!$D$1:$D$90,$N63))</x:f>
        <x:v>M3 홍은서(PL)</x:v>
      </x:c>
      <x:c r="K63" s="93" t="str">
        <x:f>IF($M63="","",INDEX('전체 WBS'!$E$1:$E$90,$N63))</x:f>
        <x:v>—</x:v>
      </x:c>
      <x:c r="L63" s="100" t="str">
        <x:f>IF($M63="","",HYPERLINK(INDEX('전체 WBS'!$AW$1:$AW$90,$N63),"원문"))</x:f>
        <x:v>원문</x:v>
      </x:c>
      <x:c r="M63" s="4" t="n">
        <x:f>IF(56&lt;=COUNTIFS('전체 WBS'!$AR$10:$AV$90,"&lt;1000000000"),SMALL('전체 WBS'!$AR$10:$AV$90,56),"")</x:f>
        <x:v>346316020.0</x:v>
      </x:c>
      <x:c r="N63" s="4" t="n">
        <x:f>IF($M63="","",MOD($M63,1000))</x:f>
        <x:v>20.0</x:v>
      </x:c>
      <x:c r="O63" s="4" t="n">
        <x:f>IF($M63="","",INT($M63/100000000))</x:f>
        <x:v>3.0</x:v>
      </x:c>
    </x:row>
    <x:row r="64" ht="31" customHeight="1">
      <x:c r="A64" s="93" t="str">
        <x:f>IF($M64="","",INDEX('전체 WBS'!$AR$9:$AV$9,1,$O64))</x:f>
        <x:v>M3 홍은서</x:v>
      </x:c>
      <x:c r="B64" s="93" t="str">
        <x:f>IF($M64="","",IF(ISNUMBER(SEARCH($A64,INDEX('전체 WBS'!$D$1:$D$90,$N64))),"주담당","협업"))</x:f>
        <x:v>협업</x:v>
      </x:c>
      <x:c r="C64" s="93" t="str">
        <x:f>IF($M64="","",INDEX('전체 WBS'!$A$1:$A$90,$N64))</x:f>
        <x:v>C12.1</x:v>
      </x:c>
      <x:c r="D64" s="93" t="str">
        <x:f>IF($M64="","",INDEX('전체 WBS'!$B$1:$B$90,$N64))</x:f>
        <x:v>공동·관리</x:v>
      </x:c>
      <x:c r="E64" s="93" t="str">
        <x:f>IF($M64="","",INDEX('전체 WBS'!$C$1:$C$90,$N64))</x:f>
        <x:v>AWS 권한·예산·API 연결 검토</x:v>
      </x:c>
      <x:c r="F64" s="94" t="str">
        <x:f>IF($M64="","",INDEX('전체 WBS'!$F$1:$F$90,$N64))</x:f>
        <x:v>46316</x:v>
      </x:c>
      <x:c r="G64" s="94" t="str">
        <x:f>IF($M64="","",INDEX('전체 WBS'!$G$1:$G$90,$N64))</x:f>
        <x:v>46318</x:v>
      </x:c>
      <x:c r="H64" s="95" t="str">
        <x:f>IF($M64="","",INDEX('전체 WBS'!$H$1:$H$90,$N64))</x:f>
        <x:v>미확인</x:v>
      </x:c>
      <x:c r="I64" s="93" t="str">
        <x:f>IF($M64="","",INDEX('전체 WBS'!$I$1:$I$90,$N64))</x:f>
        <x:v>C6.1</x:v>
      </x:c>
      <x:c r="J64" s="93" t="str">
        <x:f>IF($M64="","",INDEX('전체 WBS'!$D$1:$D$90,$N64))</x:f>
        <x:v>M5 유은혜(PM)</x:v>
      </x:c>
      <x:c r="K64" s="93" t="str">
        <x:f>IF($M64="","",INDEX('전체 WBS'!$E$1:$E$90,$N64))</x:f>
        <x:v>M1 유용수 · M3 홍은서
M4 박진혁</x:v>
      </x:c>
      <x:c r="L64" s="100" t="str">
        <x:f>IF($M64="","",HYPERLINK(INDEX('전체 WBS'!$AW$1:$AW$90,$N64),"원문"))</x:f>
        <x:v>원문</x:v>
      </x:c>
      <x:c r="M64" s="4" t="n">
        <x:f>IF(57&lt;=COUNTIFS('전체 WBS'!$AR$10:$AV$90,"&lt;1000000000"),SMALL('전체 WBS'!$AR$10:$AV$90,57),"")</x:f>
        <x:v>346316026.0</x:v>
      </x:c>
      <x:c r="N64" s="4" t="n">
        <x:f>IF($M64="","",MOD($M64,1000))</x:f>
        <x:v>26.0</x:v>
      </x:c>
      <x:c r="O64" s="4" t="n">
        <x:f>IF($M64="","",INT($M64/100000000))</x:f>
        <x:v>3.0</x:v>
      </x:c>
    </x:row>
    <x:row r="65" ht="31" customHeight="1">
      <x:c r="A65" s="93" t="str">
        <x:f>IF($M65="","",INDEX('전체 WBS'!$AR$9:$AV$9,1,$O65))</x:f>
        <x:v>M3 홍은서</x:v>
      </x:c>
      <x:c r="B65" s="93" t="str">
        <x:f>IF($M65="","",IF(ISNUMBER(SEARCH($A65,INDEX('전체 WBS'!$D$1:$D$90,$N65))),"주담당","협업"))</x:f>
        <x:v>협업</x:v>
      </x:c>
      <x:c r="C65" s="93" t="str">
        <x:f>IF($M65="","",INDEX('전체 WBS'!$A$1:$A$90,$N65))</x:f>
        <x:v>D1</x:v>
      </x:c>
      <x:c r="D65" s="93" t="str">
        <x:f>IF($M65="","",INDEX('전체 WBS'!$B$1:$B$90,$N65))</x:f>
        <x:v>개발</x:v>
      </x:c>
      <x:c r="E65" s="93" t="str">
        <x:f>IF($M65="","",INDEX('전체 WBS'!$C$1:$C$90,$N65))</x:f>
        <x:v>실행 환경 정의·ERD·클래스 설계</x:v>
      </x:c>
      <x:c r="F65" s="94" t="str">
        <x:f>IF($M65="","",INDEX('전체 WBS'!$F$1:$F$90,$N65))</x:f>
        <x:v>46316</x:v>
      </x:c>
      <x:c r="G65" s="94" t="str">
        <x:f>IF($M65="","",INDEX('전체 WBS'!$G$1:$G$90,$N65))</x:f>
        <x:v>46318</x:v>
      </x:c>
      <x:c r="H65" s="95" t="str">
        <x:f>IF($M65="","",INDEX('전체 WBS'!$H$1:$H$90,$N65))</x:f>
        <x:v>미확인</x:v>
      </x:c>
      <x:c r="I65" s="93" t="str">
        <x:f>IF($M65="","",INDEX('전체 WBS'!$I$1:$I$90,$N65))</x:f>
        <x:v>—</x:v>
      </x:c>
      <x:c r="J65" s="93" t="str">
        <x:f>IF($M65="","",INDEX('전체 WBS'!$D$1:$D$90,$N65))</x:f>
        <x:v>M5 유은혜(PM)</x:v>
      </x:c>
      <x:c r="K65" s="93" t="str">
        <x:f>IF($M65="","",INDEX('전체 WBS'!$E$1:$E$90,$N65))</x:f>
        <x:v>M1 유용수 · M2 윤서영
M3 홍은서</x:v>
      </x:c>
      <x:c r="L65" s="100" t="str">
        <x:f>IF($M65="","",HYPERLINK(INDEX('전체 WBS'!$AW$1:$AW$90,$N65),"원문"))</x:f>
        <x:v>원문</x:v>
      </x:c>
      <x:c r="M65" s="4" t="n">
        <x:f>IF(58&lt;=COUNTIFS('전체 WBS'!$AR$10:$AV$90,"&lt;1000000000"),SMALL('전체 WBS'!$AR$10:$AV$90,58),"")</x:f>
        <x:v>346316030.0</x:v>
      </x:c>
      <x:c r="N65" s="4" t="n">
        <x:f>IF($M65="","",MOD($M65,1000))</x:f>
        <x:v>30.0</x:v>
      </x:c>
      <x:c r="O65" s="4" t="n">
        <x:f>IF($M65="","",INT($M65/100000000))</x:f>
        <x:v>3.0</x:v>
      </x:c>
    </x:row>
    <x:row r="66" ht="31" customHeight="1">
      <x:c r="A66" s="93" t="str">
        <x:f>IF($M66="","",INDEX('전체 WBS'!$AR$9:$AV$9,1,$O66))</x:f>
        <x:v>M3 홍은서</x:v>
      </x:c>
      <x:c r="B66" s="93" t="str">
        <x:f>IF($M66="","",IF(ISNUMBER(SEARCH($A66,INDEX('전체 WBS'!$D$1:$D$90,$N66))),"주담당","협업"))</x:f>
        <x:v>협업</x:v>
      </x:c>
      <x:c r="C66" s="93" t="str">
        <x:f>IF($M66="","",INDEX('전체 WBS'!$A$1:$A$90,$N66))</x:f>
        <x:v>C7</x:v>
      </x:c>
      <x:c r="D66" s="93" t="str">
        <x:f>IF($M66="","",INDEX('전체 WBS'!$B$1:$B$90,$N66))</x:f>
        <x:v>인프라</x:v>
      </x:c>
      <x:c r="E66" s="93" t="str">
        <x:f>IF($M66="","",INDEX('전체 WBS'!$C$1:$C$90,$N66))</x:f>
        <x:v>망 간 라우팅·VPN 구성 및 검증</x:v>
      </x:c>
      <x:c r="F66" s="94" t="str">
        <x:f>IF($M66="","",INDEX('전체 WBS'!$F$1:$F$90,$N66))</x:f>
        <x:v>46317</x:v>
      </x:c>
      <x:c r="G66" s="94" t="str">
        <x:f>IF($M66="","",INDEX('전체 WBS'!$G$1:$G$90,$N66))</x:f>
        <x:v>46323</x:v>
      </x:c>
      <x:c r="H66" s="95" t="str">
        <x:f>IF($M66="","",INDEX('전체 WBS'!$H$1:$H$90,$N66))</x:f>
        <x:v>미확인</x:v>
      </x:c>
      <x:c r="I66" s="93" t="str">
        <x:f>IF($M66="","",INDEX('전체 WBS'!$I$1:$I$90,$N66))</x:f>
        <x:v>C6.1, I14, I19, I24, I29, I34</x:v>
      </x:c>
      <x:c r="J66" s="93" t="str">
        <x:f>IF($M66="","",INDEX('전체 WBS'!$D$1:$D$90,$N66))</x:f>
        <x:v>M1 유용수</x:v>
      </x:c>
      <x:c r="K66" s="93" t="str">
        <x:f>IF($M66="","",INDEX('전체 WBS'!$E$1:$E$90,$N66))</x:f>
        <x:v>M2 윤서영 · M3 홍은서
M4 박진혁 · M5 유은혜</x:v>
      </x:c>
      <x:c r="L66" s="100" t="str">
        <x:f>IF($M66="","",HYPERLINK(INDEX('전체 WBS'!$AW$1:$AW$90,$N66),"원문"))</x:f>
        <x:v>원문</x:v>
      </x:c>
      <x:c r="M66" s="4" t="n">
        <x:f>IF(59&lt;=COUNTIFS('전체 WBS'!$AR$10:$AV$90,"&lt;1000000000"),SMALL('전체 WBS'!$AR$10:$AV$90,59),"")</x:f>
        <x:v>346317023.0</x:v>
      </x:c>
      <x:c r="N66" s="4" t="n">
        <x:f>IF($M66="","",MOD($M66,1000))</x:f>
        <x:v>23.0</x:v>
      </x:c>
      <x:c r="O66" s="4" t="n">
        <x:f>IF($M66="","",INT($M66/100000000))</x:f>
        <x:v>3.0</x:v>
      </x:c>
    </x:row>
    <x:row r="67" ht="31" customHeight="1">
      <x:c r="A67" s="93" t="str">
        <x:f>IF($M67="","",INDEX('전체 WBS'!$AR$9:$AV$9,1,$O67))</x:f>
        <x:v>M3 홍은서</x:v>
      </x:c>
      <x:c r="B67" s="93" t="str">
        <x:f>IF($M67="","",IF(ISNUMBER(SEARCH($A67,INDEX('전체 WBS'!$D$1:$D$90,$N67))),"주담당","협업"))</x:f>
        <x:v>협업</x:v>
      </x:c>
      <x:c r="C67" s="93" t="str">
        <x:f>IF($M67="","",INDEX('전체 WBS'!$A$1:$A$90,$N67))</x:f>
        <x:v>C10.1</x:v>
      </x:c>
      <x:c r="D67" s="93" t="str">
        <x:f>IF($M67="","",INDEX('전체 WBS'!$B$1:$B$90,$N67))</x:f>
        <x:v>공동·관리</x:v>
      </x:c>
      <x:c r="E67" s="93" t="str">
        <x:f>IF($M67="","",INDEX('전체 WBS'!$C$1:$C$90,$N67))</x:f>
        <x:v>DB 구성·복구 목표 협의</x:v>
      </x:c>
      <x:c r="F67" s="94" t="str">
        <x:f>IF($M67="","",INDEX('전체 WBS'!$F$1:$F$90,$N67))</x:f>
        <x:v>46318</x:v>
      </x:c>
      <x:c r="G67" s="94" t="str">
        <x:f>IF($M67="","",INDEX('전체 WBS'!$G$1:$G$90,$N67))</x:f>
        <x:v>46318</x:v>
      </x:c>
      <x:c r="H67" s="95" t="str">
        <x:f>IF($M67="","",INDEX('전체 WBS'!$H$1:$H$90,$N67))</x:f>
        <x:v>미확인</x:v>
      </x:c>
      <x:c r="I67" s="93" t="str">
        <x:f>IF($M67="","",INDEX('전체 WBS'!$I$1:$I$90,$N67))</x:f>
        <x:v>C6.1</x:v>
      </x:c>
      <x:c r="J67" s="93" t="str">
        <x:f>IF($M67="","",INDEX('전체 WBS'!$D$1:$D$90,$N67))</x:f>
        <x:v>M4 박진혁</x:v>
      </x:c>
      <x:c r="K67" s="93" t="str">
        <x:f>IF($M67="","",INDEX('전체 WBS'!$E$1:$E$90,$N67))</x:f>
        <x:v>M3 홍은서</x:v>
      </x:c>
      <x:c r="L67" s="100" t="str">
        <x:f>IF($M67="","",HYPERLINK(INDEX('전체 WBS'!$AW$1:$AW$90,$N67),"원문"))</x:f>
        <x:v>원문</x:v>
      </x:c>
      <x:c r="M67" s="4" t="n">
        <x:f>IF(60&lt;=COUNTIFS('전체 WBS'!$AR$10:$AV$90,"&lt;1000000000"),SMALL('전체 WBS'!$AR$10:$AV$90,60),"")</x:f>
        <x:v>346318024.0</x:v>
      </x:c>
      <x:c r="N67" s="4" t="n">
        <x:f>IF($M67="","",MOD($M67,1000))</x:f>
        <x:v>24.0</x:v>
      </x:c>
      <x:c r="O67" s="4" t="n">
        <x:f>IF($M67="","",INT($M67/100000000))</x:f>
        <x:v>3.0</x:v>
      </x:c>
    </x:row>
    <x:row r="68" ht="31" customHeight="1">
      <x:c r="A68" s="93" t="str">
        <x:f>IF($M68="","",INDEX('전체 WBS'!$AR$9:$AV$9,1,$O68))</x:f>
        <x:v>M3 홍은서</x:v>
      </x:c>
      <x:c r="B68" s="93" t="str">
        <x:f>IF($M68="","",IF(ISNUMBER(SEARCH($A68,INDEX('전체 WBS'!$D$1:$D$90,$N68))),"주담당","협업"))</x:f>
        <x:v>협업</x:v>
      </x:c>
      <x:c r="C68" s="93" t="str">
        <x:f>IF($M68="","",INDEX('전체 WBS'!$A$1:$A$90,$N68))</x:f>
        <x:v>D3</x:v>
      </x:c>
      <x:c r="D68" s="93" t="str">
        <x:f>IF($M68="","",INDEX('전체 WBS'!$B$1:$B$90,$N68))</x:f>
        <x:v>개발</x:v>
      </x:c>
      <x:c r="E68" s="93" t="str">
        <x:f>IF($M68="","",INDEX('전체 WBS'!$C$1:$C$90,$N68))</x:f>
        <x:v>OTT 로그인·목록·영상 재생 개발</x:v>
      </x:c>
      <x:c r="F68" s="94" t="str">
        <x:f>IF($M68="","",INDEX('전체 WBS'!$F$1:$F$90,$N68))</x:f>
        <x:v>46319</x:v>
      </x:c>
      <x:c r="G68" s="94" t="str">
        <x:f>IF($M68="","",INDEX('전체 WBS'!$G$1:$G$90,$N68))</x:f>
        <x:v>46323</x:v>
      </x:c>
      <x:c r="H68" s="95" t="str">
        <x:f>IF($M68="","",INDEX('전체 WBS'!$H$1:$H$90,$N68))</x:f>
        <x:v>미확인</x:v>
      </x:c>
      <x:c r="I68" s="93" t="str">
        <x:f>IF($M68="","",INDEX('전체 WBS'!$I$1:$I$90,$N68))</x:f>
        <x:v>D1</x:v>
      </x:c>
      <x:c r="J68" s="93" t="str">
        <x:f>IF($M68="","",INDEX('전체 WBS'!$D$1:$D$90,$N68))</x:f>
        <x:v>M5 유은혜(PM)</x:v>
      </x:c>
      <x:c r="K68" s="93" t="str">
        <x:f>IF($M68="","",INDEX('전체 WBS'!$E$1:$E$90,$N68))</x:f>
        <x:v>M3 홍은서</x:v>
      </x:c>
      <x:c r="L68" s="100" t="str">
        <x:f>IF($M68="","",HYPERLINK(INDEX('전체 WBS'!$AW$1:$AW$90,$N68),"원문"))</x:f>
        <x:v>원문</x:v>
      </x:c>
      <x:c r="M68" s="4" t="n">
        <x:f>IF(61&lt;=COUNTIFS('전체 WBS'!$AR$10:$AV$90,"&lt;1000000000"),SMALL('전체 WBS'!$AR$10:$AV$90,61),"")</x:f>
        <x:v>346319032.0</x:v>
      </x:c>
      <x:c r="N68" s="4" t="n">
        <x:f>IF($M68="","",MOD($M68,1000))</x:f>
        <x:v>32.0</x:v>
      </x:c>
      <x:c r="O68" s="4" t="n">
        <x:f>IF($M68="","",INT($M68/100000000))</x:f>
        <x:v>3.0</x:v>
      </x:c>
    </x:row>
    <x:row r="69" ht="31" customHeight="1">
      <x:c r="A69" s="93" t="str">
        <x:f>IF($M69="","",INDEX('전체 WBS'!$AR$9:$AV$9,1,$O69))</x:f>
        <x:v>M3 홍은서</x:v>
      </x:c>
      <x:c r="B69" s="93" t="str">
        <x:f>IF($M69="","",IF(ISNUMBER(SEARCH($A69,INDEX('전체 WBS'!$D$1:$D$90,$N69))),"주담당","협업"))</x:f>
        <x:v>협업</x:v>
      </x:c>
      <x:c r="C69" s="93" t="str">
        <x:f>IF($M69="","",INDEX('전체 WBS'!$A$1:$A$90,$N69))</x:f>
        <x:v>C10.2</x:v>
      </x:c>
      <x:c r="D69" s="93" t="str">
        <x:f>IF($M69="","",INDEX('전체 WBS'!$B$1:$B$90,$N69))</x:f>
        <x:v>인프라</x:v>
      </x:c>
      <x:c r="E69" s="93" t="str">
        <x:f>IF($M69="","",INDEX('전체 WBS'!$C$1:$C$90,$N69))</x:f>
        <x:v>복제 DB·격리 복원 환경 준비</x:v>
      </x:c>
      <x:c r="F69" s="94" t="str">
        <x:f>IF($M69="","",INDEX('전체 WBS'!$F$1:$F$90,$N69))</x:f>
        <x:v>46321</x:v>
      </x:c>
      <x:c r="G69" s="94" t="str">
        <x:f>IF($M69="","",INDEX('전체 WBS'!$G$1:$G$90,$N69))</x:f>
        <x:v>46325</x:v>
      </x:c>
      <x:c r="H69" s="95" t="str">
        <x:f>IF($M69="","",INDEX('전체 WBS'!$H$1:$H$90,$N69))</x:f>
        <x:v>미확인</x:v>
      </x:c>
      <x:c r="I69" s="93" t="str">
        <x:f>IF($M69="","",INDEX('전체 WBS'!$I$1:$I$90,$N69))</x:f>
        <x:v>C10.1, I24, I29</x:v>
      </x:c>
      <x:c r="J69" s="93" t="str">
        <x:f>IF($M69="","",INDEX('전체 WBS'!$D$1:$D$90,$N69))</x:f>
        <x:v>M4 박진혁</x:v>
      </x:c>
      <x:c r="K69" s="93" t="str">
        <x:f>IF($M69="","",INDEX('전체 WBS'!$E$1:$E$90,$N69))</x:f>
        <x:v>M3 홍은서</x:v>
      </x:c>
      <x:c r="L69" s="100" t="str">
        <x:f>IF($M69="","",HYPERLINK(INDEX('전체 WBS'!$AW$1:$AW$90,$N69),"원문"))</x:f>
        <x:v>원문</x:v>
      </x:c>
      <x:c r="M69" s="4" t="n">
        <x:f>IF(62&lt;=COUNTIFS('전체 WBS'!$AR$10:$AV$90,"&lt;1000000000"),SMALL('전체 WBS'!$AR$10:$AV$90,62),"")</x:f>
        <x:v>346321025.0</x:v>
      </x:c>
      <x:c r="N69" s="4" t="n">
        <x:f>IF($M69="","",MOD($M69,1000))</x:f>
        <x:v>25.0</x:v>
      </x:c>
      <x:c r="O69" s="4" t="n">
        <x:f>IF($M69="","",INT($M69/100000000))</x:f>
        <x:v>3.0</x:v>
      </x:c>
    </x:row>
    <x:row r="70" ht="31" customHeight="1">
      <x:c r="A70" s="93" t="str">
        <x:f>IF($M70="","",INDEX('전체 WBS'!$AR$9:$AV$9,1,$O70))</x:f>
        <x:v>M3 홍은서</x:v>
      </x:c>
      <x:c r="B70" s="93" t="str">
        <x:f>IF($M70="","",IF(ISNUMBER(SEARCH($A70,INDEX('전체 WBS'!$D$1:$D$90,$N70))),"주담당","협업"))</x:f>
        <x:v>협업</x:v>
      </x:c>
      <x:c r="C70" s="93" t="str">
        <x:f>IF($M70="","",INDEX('전체 WBS'!$A$1:$A$90,$N70))</x:f>
        <x:v>C12.2</x:v>
      </x:c>
      <x:c r="D70" s="93" t="str">
        <x:f>IF($M70="","",INDEX('전체 WBS'!$B$1:$B$90,$N70))</x:f>
        <x:v>인프라</x:v>
      </x:c>
      <x:c r="E70" s="93" t="str">
        <x:f>IF($M70="","",INDEX('전체 WBS'!$C$1:$C$90,$N70))</x:f>
        <x:v>AWS 환경 구축·재구축 절차 작성</x:v>
      </x:c>
      <x:c r="F70" s="94" t="str">
        <x:f>IF($M70="","",INDEX('전체 WBS'!$F$1:$F$90,$N70))</x:f>
        <x:v>46321</x:v>
      </x:c>
      <x:c r="G70" s="94" t="str">
        <x:f>IF($M70="","",INDEX('전체 WBS'!$G$1:$G$90,$N70))</x:f>
        <x:v>46325</x:v>
      </x:c>
      <x:c r="H70" s="95" t="str">
        <x:f>IF($M70="","",INDEX('전체 WBS'!$H$1:$H$90,$N70))</x:f>
        <x:v>미확인</x:v>
      </x:c>
      <x:c r="I70" s="93" t="str">
        <x:f>IF($M70="","",INDEX('전체 WBS'!$I$1:$I$90,$N70))</x:f>
        <x:v>C12.1</x:v>
      </x:c>
      <x:c r="J70" s="93" t="str">
        <x:f>IF($M70="","",INDEX('전체 WBS'!$D$1:$D$90,$N70))</x:f>
        <x:v>M5 유은혜(PM)</x:v>
      </x:c>
      <x:c r="K70" s="93" t="str">
        <x:f>IF($M70="","",INDEX('전체 WBS'!$E$1:$E$90,$N70))</x:f>
        <x:v>M1 유용수 · M3 홍은서</x:v>
      </x:c>
      <x:c r="L70" s="100" t="str">
        <x:f>IF($M70="","",HYPERLINK(INDEX('전체 WBS'!$AW$1:$AW$90,$N70),"원문"))</x:f>
        <x:v>원문</x:v>
      </x:c>
      <x:c r="M70" s="4" t="n">
        <x:f>IF(63&lt;=COUNTIFS('전체 WBS'!$AR$10:$AV$90,"&lt;1000000000"),SMALL('전체 WBS'!$AR$10:$AV$90,63),"")</x:f>
        <x:v>346321027.0</x:v>
      </x:c>
      <x:c r="N70" s="4" t="n">
        <x:f>IF($M70="","",MOD($M70,1000))</x:f>
        <x:v>27.0</x:v>
      </x:c>
      <x:c r="O70" s="4" t="n">
        <x:f>IF($M70="","",INT($M70/100000000))</x:f>
        <x:v>3.0</x:v>
      </x:c>
    </x:row>
    <x:row r="71" ht="31" customHeight="1">
      <x:c r="A71" s="93" t="str">
        <x:f>IF($M71="","",INDEX('전체 WBS'!$AR$9:$AV$9,1,$O71))</x:f>
        <x:v>M3 홍은서</x:v>
      </x:c>
      <x:c r="B71" s="93" t="str">
        <x:f>IF($M71="","",IF(ISNUMBER(SEARCH($A71,INDEX('전체 WBS'!$D$1:$D$90,$N71))),"주담당","협업"))</x:f>
        <x:v>협업</x:v>
      </x:c>
      <x:c r="C71" s="93" t="str">
        <x:f>IF($M71="","",INDEX('전체 WBS'!$A$1:$A$90,$N71))</x:f>
        <x:v>C6.2</x:v>
      </x:c>
      <x:c r="D71" s="93" t="str">
        <x:f>IF($M71="","",INDEX('전체 WBS'!$B$1:$B$90,$N71))</x:f>
        <x:v>공동·관리</x:v>
      </x:c>
      <x:c r="E71" s="93" t="str">
        <x:f>IF($M71="","",INDEX('전체 WBS'!$C$1:$C$90,$N71))</x:f>
        <x:v>집중 업무 공수·배포 인계 점검</x:v>
      </x:c>
      <x:c r="F71" s="94" t="str">
        <x:f>IF($M71="","",INDEX('전체 WBS'!$F$1:$F$90,$N71))</x:f>
        <x:v>46323</x:v>
      </x:c>
      <x:c r="G71" s="94" t="str">
        <x:f>IF($M71="","",INDEX('전체 WBS'!$G$1:$G$90,$N71))</x:f>
        <x:v>46325</x:v>
      </x:c>
      <x:c r="H71" s="95" t="str">
        <x:f>IF($M71="","",INDEX('전체 WBS'!$H$1:$H$90,$N71))</x:f>
        <x:v>미확인</x:v>
      </x:c>
      <x:c r="I71" s="93" t="str">
        <x:f>IF($M71="","",INDEX('전체 WBS'!$I$1:$I$90,$N71))</x:f>
        <x:v>D1, I24, C12.2</x:v>
      </x:c>
      <x:c r="J71" s="93" t="str">
        <x:f>IF($M71="","",INDEX('전체 WBS'!$D$1:$D$90,$N71))</x:f>
        <x:v>M5 유은혜(PM)</x:v>
      </x:c>
      <x:c r="K71" s="93" t="str">
        <x:f>IF($M71="","",INDEX('전체 WBS'!$E$1:$E$90,$N71))</x:f>
        <x:v>M3 홍은서 · M4 박진혁</x:v>
      </x:c>
      <x:c r="L71" s="100" t="str">
        <x:f>IF($M71="","",HYPERLINK(INDEX('전체 WBS'!$AW$1:$AW$90,$N71),"원문"))</x:f>
        <x:v>원문</x:v>
      </x:c>
      <x:c r="M71" s="4" t="n">
        <x:f>IF(64&lt;=COUNTIFS('전체 WBS'!$AR$10:$AV$90,"&lt;1000000000"),SMALL('전체 WBS'!$AR$10:$AV$90,64),"")</x:f>
        <x:v>346323028.0</x:v>
      </x:c>
      <x:c r="N71" s="4" t="n">
        <x:f>IF($M71="","",MOD($M71,1000))</x:f>
        <x:v>28.0</x:v>
      </x:c>
      <x:c r="O71" s="4" t="n">
        <x:f>IF($M71="","",INT($M71/100000000))</x:f>
        <x:v>3.0</x:v>
      </x:c>
    </x:row>
    <x:row r="72" ht="31" customHeight="1">
      <x:c r="A72" s="93" t="str">
        <x:f>IF($M72="","",INDEX('전체 WBS'!$AR$9:$AV$9,1,$O72))</x:f>
        <x:v>M3 홍은서</x:v>
      </x:c>
      <x:c r="B72" s="93" t="str">
        <x:f>IF($M72="","",IF(ISNUMBER(SEARCH($A72,INDEX('전체 WBS'!$D$1:$D$90,$N72))),"주담당","협업"))</x:f>
        <x:v>협업</x:v>
      </x:c>
      <x:c r="C72" s="93" t="str">
        <x:f>IF($M72="","",INDEX('전체 WBS'!$A$1:$A$90,$N72))</x:f>
        <x:v>D6.1</x:v>
      </x:c>
      <x:c r="D72" s="93" t="str">
        <x:f>IF($M72="","",INDEX('전체 WBS'!$B$1:$B$90,$N72))</x:f>
        <x:v>개발</x:v>
      </x:c>
      <x:c r="E72" s="93" t="str">
        <x:f>IF($M72="","",INDEX('전체 WBS'!$C$1:$C$90,$N72))</x:f>
        <x:v>CI 구성·이미지·배포 저장소 준비</x:v>
      </x:c>
      <x:c r="F72" s="94" t="str">
        <x:f>IF($M72="","",INDEX('전체 WBS'!$F$1:$F$90,$N72))</x:f>
        <x:v>46323</x:v>
      </x:c>
      <x:c r="G72" s="94" t="str">
        <x:f>IF($M72="","",INDEX('전체 WBS'!$G$1:$G$90,$N72))</x:f>
        <x:v>46325</x:v>
      </x:c>
      <x:c r="H72" s="95" t="str">
        <x:f>IF($M72="","",INDEX('전체 WBS'!$H$1:$H$90,$N72))</x:f>
        <x:v>미확인</x:v>
      </x:c>
      <x:c r="I72" s="93" t="str">
        <x:f>IF($M72="","",INDEX('전체 WBS'!$I$1:$I$90,$N72))</x:f>
        <x:v>D1, D3</x:v>
      </x:c>
      <x:c r="J72" s="93" t="str">
        <x:f>IF($M72="","",INDEX('전체 WBS'!$D$1:$D$90,$N72))</x:f>
        <x:v>M5 유은혜(PM)</x:v>
      </x:c>
      <x:c r="K72" s="93" t="str">
        <x:f>IF($M72="","",INDEX('전체 WBS'!$E$1:$E$90,$N72))</x:f>
        <x:v>M3 홍은서</x:v>
      </x:c>
      <x:c r="L72" s="100" t="str">
        <x:f>IF($M72="","",HYPERLINK(INDEX('전체 WBS'!$AW$1:$AW$90,$N72),"원문"))</x:f>
        <x:v>원문</x:v>
      </x:c>
      <x:c r="M72" s="4" t="n">
        <x:f>IF(65&lt;=COUNTIFS('전체 WBS'!$AR$10:$AV$90,"&lt;1000000000"),SMALL('전체 WBS'!$AR$10:$AV$90,65),"")</x:f>
        <x:v>346323039.0</x:v>
      </x:c>
      <x:c r="N72" s="4" t="n">
        <x:f>IF($M72="","",MOD($M72,1000))</x:f>
        <x:v>39.0</x:v>
      </x:c>
      <x:c r="O72" s="4" t="n">
        <x:f>IF($M72="","",INT($M72/100000000))</x:f>
        <x:v>3.0</x:v>
      </x:c>
    </x:row>
    <x:row r="73" ht="31" customHeight="1">
      <x:c r="A73" s="93" t="str">
        <x:f>IF($M73="","",INDEX('전체 WBS'!$AR$9:$AV$9,1,$O73))</x:f>
        <x:v>M3 홍은서</x:v>
      </x:c>
      <x:c r="B73" s="93" t="str">
        <x:f>IF($M73="","",IF(ISNUMBER(SEARCH($A73,INDEX('전체 WBS'!$D$1:$D$90,$N73))),"주담당","협업"))</x:f>
        <x:v>주담당</x:v>
      </x:c>
      <x:c r="C73" s="93" t="str">
        <x:f>IF($M73="","",INDEX('전체 WBS'!$A$1:$A$90,$N73))</x:f>
        <x:v>D4.3</x:v>
      </x:c>
      <x:c r="D73" s="93" t="str">
        <x:f>IF($M73="","",INDEX('전체 WBS'!$B$1:$B$90,$N73))</x:f>
        <x:v>개발</x:v>
      </x:c>
      <x:c r="E73" s="93" t="str">
        <x:f>IF($M73="","",INDEX('전체 WBS'!$C$1:$C$90,$N73))</x:f>
        <x:v>한국 OTT 서버 배포</x:v>
      </x:c>
      <x:c r="F73" s="94" t="str">
        <x:f>IF($M73="","",INDEX('전체 WBS'!$F$1:$F$90,$N73))</x:f>
        <x:v>46324</x:v>
      </x:c>
      <x:c r="G73" s="94" t="str">
        <x:f>IF($M73="","",INDEX('전체 WBS'!$G$1:$G$90,$N73))</x:f>
        <x:v>46325</x:v>
      </x:c>
      <x:c r="H73" s="95" t="str">
        <x:f>IF($M73="","",INDEX('전체 WBS'!$H$1:$H$90,$N73))</x:f>
        <x:v>미확인</x:v>
      </x:c>
      <x:c r="I73" s="93" t="str">
        <x:f>IF($M73="","",INDEX('전체 WBS'!$I$1:$I$90,$N73))</x:f>
        <x:v>D3, I24</x:v>
      </x:c>
      <x:c r="J73" s="93" t="str">
        <x:f>IF($M73="","",INDEX('전체 WBS'!$D$1:$D$90,$N73))</x:f>
        <x:v>M3 홍은서(PL)</x:v>
      </x:c>
      <x:c r="K73" s="93" t="str">
        <x:f>IF($M73="","",INDEX('전체 WBS'!$E$1:$E$90,$N73))</x:f>
        <x:v>M5 유은혜</x:v>
      </x:c>
      <x:c r="L73" s="100" t="str">
        <x:f>IF($M73="","",HYPERLINK(INDEX('전체 WBS'!$AW$1:$AW$90,$N73),"원문"))</x:f>
        <x:v>원문</x:v>
      </x:c>
      <x:c r="M73" s="4" t="n">
        <x:f>IF(66&lt;=COUNTIFS('전체 WBS'!$AR$10:$AV$90,"&lt;1000000000"),SMALL('전체 WBS'!$AR$10:$AV$90,66),"")</x:f>
        <x:v>346324035.0</x:v>
      </x:c>
      <x:c r="N73" s="4" t="n">
        <x:f>IF($M73="","",MOD($M73,1000))</x:f>
        <x:v>35.0</x:v>
      </x:c>
      <x:c r="O73" s="4" t="n">
        <x:f>IF($M73="","",INT($M73/100000000))</x:f>
        <x:v>3.0</x:v>
      </x:c>
    </x:row>
    <x:row r="74" ht="31" customHeight="1">
      <x:c r="A74" s="93" t="str">
        <x:f>IF($M74="","",INDEX('전체 WBS'!$AR$9:$AV$9,1,$O74))</x:f>
        <x:v>M3 홍은서</x:v>
      </x:c>
      <x:c r="B74" s="93" t="str">
        <x:f>IF($M74="","",IF(ISNUMBER(SEARCH($A74,INDEX('전체 WBS'!$D$1:$D$90,$N74))),"주담당","협업"))</x:f>
        <x:v>협업</x:v>
      </x:c>
      <x:c r="C74" s="93" t="str">
        <x:f>IF($M74="","",INDEX('전체 WBS'!$A$1:$A$90,$N74))</x:f>
        <x:v>D5.2</x:v>
      </x:c>
      <x:c r="D74" s="93" t="str">
        <x:f>IF($M74="","",INDEX('전체 WBS'!$B$1:$B$90,$N74))</x:f>
        <x:v>개발</x:v>
      </x:c>
      <x:c r="E74" s="93" t="str">
        <x:f>IF($M74="","",INDEX('전체 WBS'!$C$1:$C$90,$N74))</x:f>
        <x:v>Store AWS 배포·서비스 연동</x:v>
      </x:c>
      <x:c r="F74" s="94" t="str">
        <x:f>IF($M74="","",INDEX('전체 WBS'!$F$1:$F$90,$N74))</x:f>
        <x:v>46326</x:v>
      </x:c>
      <x:c r="G74" s="94" t="str">
        <x:f>IF($M74="","",INDEX('전체 WBS'!$G$1:$G$90,$N74))</x:f>
        <x:v>46326</x:v>
      </x:c>
      <x:c r="H74" s="95" t="str">
        <x:f>IF($M74="","",INDEX('전체 WBS'!$H$1:$H$90,$N74))</x:f>
        <x:v>미확인</x:v>
      </x:c>
      <x:c r="I74" s="93" t="str">
        <x:f>IF($M74="","",INDEX('전체 WBS'!$I$1:$I$90,$N74))</x:f>
        <x:v>D5.1, C12.2</x:v>
      </x:c>
      <x:c r="J74" s="93" t="str">
        <x:f>IF($M74="","",INDEX('전체 WBS'!$D$1:$D$90,$N74))</x:f>
        <x:v>M5 유은혜(PM)</x:v>
      </x:c>
      <x:c r="K74" s="93" t="str">
        <x:f>IF($M74="","",INDEX('전체 WBS'!$E$1:$E$90,$N74))</x:f>
        <x:v>M3 홍은서 · M1 유용수</x:v>
      </x:c>
      <x:c r="L74" s="100" t="str">
        <x:f>IF($M74="","",HYPERLINK(INDEX('전체 WBS'!$AW$1:$AW$90,$N74),"원문"))</x:f>
        <x:v>원문</x:v>
      </x:c>
      <x:c r="M74" s="4" t="n">
        <x:f>IF(67&lt;=COUNTIFS('전체 WBS'!$AR$10:$AV$90,"&lt;1000000000"),SMALL('전체 WBS'!$AR$10:$AV$90,67),"")</x:f>
        <x:v>346326037.0</x:v>
      </x:c>
      <x:c r="N74" s="4" t="n">
        <x:f>IF($M74="","",MOD($M74,1000))</x:f>
        <x:v>37.0</x:v>
      </x:c>
      <x:c r="O74" s="4" t="n">
        <x:f>IF($M74="","",INT($M74/100000000))</x:f>
        <x:v>3.0</x:v>
      </x:c>
    </x:row>
    <x:row r="75" ht="31" customHeight="1">
      <x:c r="A75" s="93" t="str">
        <x:f>IF($M75="","",INDEX('전체 WBS'!$AR$9:$AV$9,1,$O75))</x:f>
        <x:v>M3 홍은서</x:v>
      </x:c>
      <x:c r="B75" s="93" t="str">
        <x:f>IF($M75="","",IF(ISNUMBER(SEARCH($A75,INDEX('전체 WBS'!$D$1:$D$90,$N75))),"주담당","협업"))</x:f>
        <x:v>협업</x:v>
      </x:c>
      <x:c r="C75" s="93" t="str">
        <x:f>IF($M75="","",INDEX('전체 WBS'!$A$1:$A$90,$N75))</x:f>
        <x:v>D5.3</x:v>
      </x:c>
      <x:c r="D75" s="93" t="str">
        <x:f>IF($M75="","",INDEX('전체 WBS'!$B$1:$B$90,$N75))</x:f>
        <x:v>개발</x:v>
      </x:c>
      <x:c r="E75" s="93" t="str">
        <x:f>IF($M75="","",INDEX('전체 WBS'!$C$1:$C$90,$N75))</x:f>
        <x:v>Store 오류 분석·일정 영향 검토</x:v>
      </x:c>
      <x:c r="F75" s="94" t="str">
        <x:f>IF($M75="","",INDEX('전체 WBS'!$F$1:$F$90,$N75))</x:f>
        <x:v>46328</x:v>
      </x:c>
      <x:c r="G75" s="94" t="str">
        <x:f>IF($M75="","",INDEX('전체 WBS'!$G$1:$G$90,$N75))</x:f>
        <x:v>46328</x:v>
      </x:c>
      <x:c r="H75" s="95" t="str">
        <x:f>IF($M75="","",INDEX('전체 WBS'!$H$1:$H$90,$N75))</x:f>
        <x:v>미확인</x:v>
      </x:c>
      <x:c r="I75" s="93" t="str">
        <x:f>IF($M75="","",INDEX('전체 WBS'!$I$1:$I$90,$N75))</x:f>
        <x:v>D5.2</x:v>
      </x:c>
      <x:c r="J75" s="93" t="str">
        <x:f>IF($M75="","",INDEX('전체 WBS'!$D$1:$D$90,$N75))</x:f>
        <x:v>M5 유은혜(PM)</x:v>
      </x:c>
      <x:c r="K75" s="93" t="str">
        <x:f>IF($M75="","",INDEX('전체 WBS'!$E$1:$E$90,$N75))</x:f>
        <x:v>M3 홍은서</x:v>
      </x:c>
      <x:c r="L75" s="100" t="str">
        <x:f>IF($M75="","",HYPERLINK(INDEX('전체 WBS'!$AW$1:$AW$90,$N75),"원문"))</x:f>
        <x:v>원문</x:v>
      </x:c>
      <x:c r="M75" s="4" t="n">
        <x:f>IF(68&lt;=COUNTIFS('전체 WBS'!$AR$10:$AV$90,"&lt;1000000000"),SMALL('전체 WBS'!$AR$10:$AV$90,68),"")</x:f>
        <x:v>346328038.0</x:v>
      </x:c>
      <x:c r="N75" s="4" t="n">
        <x:f>IF($M75="","",MOD($M75,1000))</x:f>
        <x:v>38.0</x:v>
      </x:c>
      <x:c r="O75" s="4" t="n">
        <x:f>IF($M75="","",INT($M75/100000000))</x:f>
        <x:v>3.0</x:v>
      </x:c>
    </x:row>
    <x:row r="76" ht="31" customHeight="1">
      <x:c r="A76" s="93" t="str">
        <x:f>IF($M76="","",INDEX('전체 WBS'!$AR$9:$AV$9,1,$O76))</x:f>
        <x:v>M3 홍은서</x:v>
      </x:c>
      <x:c r="B76" s="93" t="str">
        <x:f>IF($M76="","",IF(ISNUMBER(SEARCH($A76,INDEX('전체 WBS'!$D$1:$D$90,$N76))),"주담당","협업"))</x:f>
        <x:v>협업</x:v>
      </x:c>
      <x:c r="C76" s="93" t="str">
        <x:f>IF($M76="","",INDEX('전체 WBS'!$A$1:$A$90,$N76))</x:f>
        <x:v>D7</x:v>
      </x:c>
      <x:c r="D76" s="93" t="str">
        <x:f>IF($M76="","",INDEX('전체 WBS'!$B$1:$B$90,$N76))</x:f>
        <x:v>개발</x:v>
      </x:c>
      <x:c r="E76" s="93" t="str">
        <x:f>IF($M76="","",INDEX('전체 WBS'!$C$1:$C$90,$N76))</x:f>
        <x:v>AI 자막 생성·플레이어 기능 구현</x:v>
      </x:c>
      <x:c r="F76" s="94" t="str">
        <x:f>IF($M76="","",INDEX('전체 WBS'!$F$1:$F$90,$N76))</x:f>
        <x:v>46328</x:v>
      </x:c>
      <x:c r="G76" s="94" t="str">
        <x:f>IF($M76="","",INDEX('전체 WBS'!$G$1:$G$90,$N76))</x:f>
        <x:v>46330</x:v>
      </x:c>
      <x:c r="H76" s="95" t="str">
        <x:f>IF($M76="","",INDEX('전체 WBS'!$H$1:$H$90,$N76))</x:f>
        <x:v>미확인</x:v>
      </x:c>
      <x:c r="I76" s="93" t="str">
        <x:f>IF($M76="","",INDEX('전체 WBS'!$I$1:$I$90,$N76))</x:f>
        <x:v>I35, D1</x:v>
      </x:c>
      <x:c r="J76" s="93" t="str">
        <x:f>IF($M76="","",INDEX('전체 WBS'!$D$1:$D$90,$N76))</x:f>
        <x:v>M5 유은혜(PM)</x:v>
      </x:c>
      <x:c r="K76" s="93" t="str">
        <x:f>IF($M76="","",INDEX('전체 WBS'!$E$1:$E$90,$N76))</x:f>
        <x:v>M3 홍은서</x:v>
      </x:c>
      <x:c r="L76" s="100" t="str">
        <x:f>IF($M76="","",HYPERLINK(INDEX('전체 WBS'!$AW$1:$AW$90,$N76),"원문"))</x:f>
        <x:v>원문</x:v>
      </x:c>
      <x:c r="M76" s="4" t="n">
        <x:f>IF(69&lt;=COUNTIFS('전체 WBS'!$AR$10:$AV$90,"&lt;1000000000"),SMALL('전체 WBS'!$AR$10:$AV$90,69),"")</x:f>
        <x:v>346328042.0</x:v>
      </x:c>
      <x:c r="N76" s="4" t="n">
        <x:f>IF($M76="","",MOD($M76,1000))</x:f>
        <x:v>42.0</x:v>
      </x:c>
      <x:c r="O76" s="4" t="n">
        <x:f>IF($M76="","",INT($M76/100000000))</x:f>
        <x:v>3.0</x:v>
      </x:c>
    </x:row>
    <x:row r="77" ht="31" customHeight="1">
      <x:c r="A77" s="93" t="str">
        <x:f>IF($M77="","",INDEX('전체 WBS'!$AR$9:$AV$9,1,$O77))</x:f>
        <x:v>M3 홍은서</x:v>
      </x:c>
      <x:c r="B77" s="93" t="str">
        <x:f>IF($M77="","",IF(ISNUMBER(SEARCH($A77,INDEX('전체 WBS'!$D$1:$D$90,$N77))),"주담당","협업"))</x:f>
        <x:v>주담당</x:v>
      </x:c>
      <x:c r="C77" s="93" t="str">
        <x:f>IF($M77="","",INDEX('전체 WBS'!$A$1:$A$90,$N77))</x:f>
        <x:v>I25</x:v>
      </x:c>
      <x:c r="D77" s="93" t="str">
        <x:f>IF($M77="","",INDEX('전체 WBS'!$B$1:$B$90,$N77))</x:f>
        <x:v>보안·검증</x:v>
      </x:c>
      <x:c r="E77" s="93" t="str">
        <x:f>IF($M77="","",INDEX('전체 WBS'!$C$1:$C$90,$N77))</x:f>
        <x:v>S03 공격 재현·원인 분석</x:v>
      </x:c>
      <x:c r="F77" s="94" t="str">
        <x:f>IF($M77="","",INDEX('전체 WBS'!$F$1:$F$90,$N77))</x:f>
        <x:v>46328</x:v>
      </x:c>
      <x:c r="G77" s="94" t="str">
        <x:f>IF($M77="","",INDEX('전체 WBS'!$G$1:$G$90,$N77))</x:f>
        <x:v>46328</x:v>
      </x:c>
      <x:c r="H77" s="95" t="str">
        <x:f>IF($M77="","",INDEX('전체 WBS'!$H$1:$H$90,$N77))</x:f>
        <x:v>미확인</x:v>
      </x:c>
      <x:c r="I77" s="93" t="str">
        <x:f>IF($M77="","",INDEX('전체 WBS'!$I$1:$I$90,$N77))</x:f>
        <x:v>I24, I14, C7, D4.3</x:v>
      </x:c>
      <x:c r="J77" s="93" t="str">
        <x:f>IF($M77="","",INDEX('전체 WBS'!$D$1:$D$90,$N77))</x:f>
        <x:v>M3 홍은서(PL)</x:v>
      </x:c>
      <x:c r="K77" s="93" t="str">
        <x:f>IF($M77="","",INDEX('전체 WBS'!$E$1:$E$90,$N77))</x:f>
        <x:v>M1 유용수</x:v>
      </x:c>
      <x:c r="L77" s="100" t="str">
        <x:f>IF($M77="","",HYPERLINK(INDEX('전체 WBS'!$AW$1:$AW$90,$N77),"원문"))</x:f>
        <x:v>원문</x:v>
      </x:c>
      <x:c r="M77" s="4" t="n">
        <x:f>IF(70&lt;=COUNTIFS('전체 WBS'!$AR$10:$AV$90,"&lt;1000000000"),SMALL('전체 WBS'!$AR$10:$AV$90,70),"")</x:f>
        <x:v>346328048.0</x:v>
      </x:c>
      <x:c r="N77" s="4" t="n">
        <x:f>IF($M77="","",MOD($M77,1000))</x:f>
        <x:v>48.0</x:v>
      </x:c>
      <x:c r="O77" s="4" t="n">
        <x:f>IF($M77="","",INT($M77/100000000))</x:f>
        <x:v>3.0</x:v>
      </x:c>
    </x:row>
    <x:row r="78" ht="31" customHeight="1">
      <x:c r="A78" s="93" t="str">
        <x:f>IF($M78="","",INDEX('전체 WBS'!$AR$9:$AV$9,1,$O78))</x:f>
        <x:v>M3 홍은서</x:v>
      </x:c>
      <x:c r="B78" s="93" t="str">
        <x:f>IF($M78="","",IF(ISNUMBER(SEARCH($A78,INDEX('전체 WBS'!$D$1:$D$90,$N78))),"주담당","협업"))</x:f>
        <x:v>협업</x:v>
      </x:c>
      <x:c r="C78" s="93" t="str">
        <x:f>IF($M78="","",INDEX('전체 WBS'!$A$1:$A$90,$N78))</x:f>
        <x:v>I35</x:v>
      </x:c>
      <x:c r="D78" s="93" t="str">
        <x:f>IF($M78="","",INDEX('전체 WBS'!$B$1:$B$90,$N78))</x:f>
        <x:v>보안·검증</x:v>
      </x:c>
      <x:c r="E78" s="93" t="str">
        <x:f>IF($M78="","",INDEX('전체 WBS'!$C$1:$C$90,$N78))</x:f>
        <x:v>S05 공격 재현·원인 분석</x:v>
      </x:c>
      <x:c r="F78" s="94" t="str">
        <x:f>IF($M78="","",INDEX('전체 WBS'!$F$1:$F$90,$N78))</x:f>
        <x:v>46328</x:v>
      </x:c>
      <x:c r="G78" s="94" t="str">
        <x:f>IF($M78="","",INDEX('전체 WBS'!$G$1:$G$90,$N78))</x:f>
        <x:v>46328</x:v>
      </x:c>
      <x:c r="H78" s="95" t="str">
        <x:f>IF($M78="","",INDEX('전체 WBS'!$H$1:$H$90,$N78))</x:f>
        <x:v>미확인</x:v>
      </x:c>
      <x:c r="I78" s="93" t="str">
        <x:f>IF($M78="","",INDEX('전체 WBS'!$I$1:$I$90,$N78))</x:f>
        <x:v>I34, I24, C7</x:v>
      </x:c>
      <x:c r="J78" s="93" t="str">
        <x:f>IF($M78="","",INDEX('전체 WBS'!$D$1:$D$90,$N78))</x:f>
        <x:v>M5 유은혜(PM)</x:v>
      </x:c>
      <x:c r="K78" s="93" t="str">
        <x:f>IF($M78="","",INDEX('전체 WBS'!$E$1:$E$90,$N78))</x:f>
        <x:v>M1 유용수 · M3 홍은서</x:v>
      </x:c>
      <x:c r="L78" s="100" t="str">
        <x:f>IF($M78="","",HYPERLINK(INDEX('전체 WBS'!$AW$1:$AW$90,$N78),"원문"))</x:f>
        <x:v>원문</x:v>
      </x:c>
      <x:c r="M78" s="4" t="n">
        <x:f>IF(71&lt;=COUNTIFS('전체 WBS'!$AR$10:$AV$90,"&lt;1000000000"),SMALL('전체 WBS'!$AR$10:$AV$90,71),"")</x:f>
        <x:v>346328050.0</x:v>
      </x:c>
      <x:c r="N78" s="4" t="n">
        <x:f>IF($M78="","",MOD($M78,1000))</x:f>
        <x:v>50.0</x:v>
      </x:c>
      <x:c r="O78" s="4" t="n">
        <x:f>IF($M78="","",INT($M78/100000000))</x:f>
        <x:v>3.0</x:v>
      </x:c>
    </x:row>
    <x:row r="79" ht="31" customHeight="1">
      <x:c r="A79" s="93" t="str">
        <x:f>IF($M79="","",INDEX('전체 WBS'!$AR$9:$AV$9,1,$O79))</x:f>
        <x:v>M3 홍은서</x:v>
      </x:c>
      <x:c r="B79" s="93" t="str">
        <x:f>IF($M79="","",IF(ISNUMBER(SEARCH($A79,INDEX('전체 WBS'!$D$1:$D$90,$N79))),"주담당","협업"))</x:f>
        <x:v>주담당</x:v>
      </x:c>
      <x:c r="C79" s="93" t="str">
        <x:f>IF($M79="","",INDEX('전체 WBS'!$A$1:$A$90,$N79))</x:f>
        <x:v>C11.1</x:v>
      </x:c>
      <x:c r="D79" s="93" t="str">
        <x:f>IF($M79="","",INDEX('전체 WBS'!$B$1:$B$90,$N79))</x:f>
        <x:v>보안·검증</x:v>
      </x:c>
      <x:c r="E79" s="93" t="str">
        <x:f>IF($M79="","",INDEX('전체 WBS'!$C$1:$C$90,$N79))</x:f>
        <x:v>앱·노드·VIP 장애 시험 준비</x:v>
      </x:c>
      <x:c r="F79" s="94" t="str">
        <x:f>IF($M79="","",INDEX('전체 WBS'!$F$1:$F$90,$N79))</x:f>
        <x:v>46328</x:v>
      </x:c>
      <x:c r="G79" s="94" t="str">
        <x:f>IF($M79="","",INDEX('전체 WBS'!$G$1:$G$90,$N79))</x:f>
        <x:v>46329</x:v>
      </x:c>
      <x:c r="H79" s="95" t="str">
        <x:f>IF($M79="","",INDEX('전체 WBS'!$H$1:$H$90,$N79))</x:f>
        <x:v>미확인</x:v>
      </x:c>
      <x:c r="I79" s="93" t="str">
        <x:f>IF($M79="","",INDEX('전체 WBS'!$I$1:$I$90,$N79))</x:f>
        <x:v>I24, D4.3</x:v>
      </x:c>
      <x:c r="J79" s="93" t="str">
        <x:f>IF($M79="","",INDEX('전체 WBS'!$D$1:$D$90,$N79))</x:f>
        <x:v>M3 홍은서(PL)</x:v>
      </x:c>
      <x:c r="K79" s="93" t="str">
        <x:f>IF($M79="","",INDEX('전체 WBS'!$E$1:$E$90,$N79))</x:f>
        <x:v>M5 유은혜</x:v>
      </x:c>
      <x:c r="L79" s="100" t="str">
        <x:f>IF($M79="","",HYPERLINK(INDEX('전체 WBS'!$AW$1:$AW$90,$N79),"원문"))</x:f>
        <x:v>원문</x:v>
      </x:c>
      <x:c r="M79" s="4" t="n">
        <x:f>IF(72&lt;=COUNTIFS('전체 WBS'!$AR$10:$AV$90,"&lt;1000000000"),SMALL('전체 WBS'!$AR$10:$AV$90,72),"")</x:f>
        <x:v>346328051.0</x:v>
      </x:c>
      <x:c r="N79" s="4" t="n">
        <x:f>IF($M79="","",MOD($M79,1000))</x:f>
        <x:v>51.0</x:v>
      </x:c>
      <x:c r="O79" s="4" t="n">
        <x:f>IF($M79="","",INT($M79/100000000))</x:f>
        <x:v>3.0</x:v>
      </x:c>
    </x:row>
    <x:row r="80" ht="31" customHeight="1">
      <x:c r="A80" s="93" t="str">
        <x:f>IF($M80="","",INDEX('전체 WBS'!$AR$9:$AV$9,1,$O80))</x:f>
        <x:v>M3 홍은서</x:v>
      </x:c>
      <x:c r="B80" s="93" t="str">
        <x:f>IF($M80="","",IF(ISNUMBER(SEARCH($A80,INDEX('전체 WBS'!$D$1:$D$90,$N80))),"주담당","협업"))</x:f>
        <x:v>협업</x:v>
      </x:c>
      <x:c r="C80" s="93" t="str">
        <x:f>IF($M80="","",INDEX('전체 WBS'!$A$1:$A$90,$N80))</x:f>
        <x:v>I16.1</x:v>
      </x:c>
      <x:c r="D80" s="93" t="str">
        <x:f>IF($M80="","",INDEX('전체 WBS'!$B$1:$B$90,$N80))</x:f>
        <x:v>보안·검증</x:v>
      </x:c>
      <x:c r="E80" s="93" t="str">
        <x:f>IF($M80="","",INDEX('전체 WBS'!$C$1:$C$90,$N80))</x:f>
        <x:v>M1 TO-BE 토폴로지·보안 정책 설계</x:v>
      </x:c>
      <x:c r="F80" s="94" t="str">
        <x:f>IF($M80="","",INDEX('전체 WBS'!$F$1:$F$90,$N80))</x:f>
        <x:v>46329</x:v>
      </x:c>
      <x:c r="G80" s="94" t="str">
        <x:f>IF($M80="","",INDEX('전체 WBS'!$G$1:$G$90,$N80))</x:f>
        <x:v>46329</x:v>
      </x:c>
      <x:c r="H80" s="95" t="str">
        <x:f>IF($M80="","",INDEX('전체 WBS'!$H$1:$H$90,$N80))</x:f>
        <x:v>미확인</x:v>
      </x:c>
      <x:c r="I80" s="93" t="str">
        <x:f>IF($M80="","",INDEX('전체 WBS'!$I$1:$I$90,$N80))</x:f>
        <x:v>I15</x:v>
      </x:c>
      <x:c r="J80" s="93" t="str">
        <x:f>IF($M80="","",INDEX('전체 WBS'!$D$1:$D$90,$N80))</x:f>
        <x:v>M1 유용수</x:v>
      </x:c>
      <x:c r="K80" s="93" t="str">
        <x:f>IF($M80="","",INDEX('전체 WBS'!$E$1:$E$90,$N80))</x:f>
        <x:v>M3 홍은서</x:v>
      </x:c>
      <x:c r="L80" s="100" t="str">
        <x:f>IF($M80="","",HYPERLINK(INDEX('전체 WBS'!$AW$1:$AW$90,$N80),"원문"))</x:f>
        <x:v>원문</x:v>
      </x:c>
      <x:c r="M80" s="4" t="n">
        <x:f>IF(73&lt;=COUNTIFS('전체 WBS'!$AR$10:$AV$90,"&lt;1000000000"),SMALL('전체 WBS'!$AR$10:$AV$90,73),"")</x:f>
        <x:v>346329053.0</x:v>
      </x:c>
      <x:c r="N80" s="4" t="n">
        <x:f>IF($M80="","",MOD($M80,1000))</x:f>
        <x:v>53.0</x:v>
      </x:c>
      <x:c r="O80" s="4" t="n">
        <x:f>IF($M80="","",INT($M80/100000000))</x:f>
        <x:v>3.0</x:v>
      </x:c>
    </x:row>
    <x:row r="81" ht="31" customHeight="1">
      <x:c r="A81" s="93" t="str">
        <x:f>IF($M81="","",INDEX('전체 WBS'!$AR$9:$AV$9,1,$O81))</x:f>
        <x:v>M3 홍은서</x:v>
      </x:c>
      <x:c r="B81" s="93" t="str">
        <x:f>IF($M81="","",IF(ISNUMBER(SEARCH($A81,INDEX('전체 WBS'!$D$1:$D$90,$N81))),"주담당","협업"))</x:f>
        <x:v>협업</x:v>
      </x:c>
      <x:c r="C81" s="93" t="str">
        <x:f>IF($M81="","",INDEX('전체 WBS'!$A$1:$A$90,$N81))</x:f>
        <x:v>I21.1</x:v>
      </x:c>
      <x:c r="D81" s="93" t="str">
        <x:f>IF($M81="","",INDEX('전체 WBS'!$B$1:$B$90,$N81))</x:f>
        <x:v>보안·검증</x:v>
      </x:c>
      <x:c r="E81" s="93" t="str">
        <x:f>IF($M81="","",INDEX('전체 WBS'!$C$1:$C$90,$N81))</x:f>
        <x:v>M2 TO-BE 토폴로지·보안 정책 설계</x:v>
      </x:c>
      <x:c r="F81" s="94" t="str">
        <x:f>IF($M81="","",INDEX('전체 WBS'!$F$1:$F$90,$N81))</x:f>
        <x:v>46329</x:v>
      </x:c>
      <x:c r="G81" s="94" t="str">
        <x:f>IF($M81="","",INDEX('전체 WBS'!$G$1:$G$90,$N81))</x:f>
        <x:v>46329</x:v>
      </x:c>
      <x:c r="H81" s="95" t="str">
        <x:f>IF($M81="","",INDEX('전체 WBS'!$H$1:$H$90,$N81))</x:f>
        <x:v>미확인</x:v>
      </x:c>
      <x:c r="I81" s="93" t="str">
        <x:f>IF($M81="","",INDEX('전체 WBS'!$I$1:$I$90,$N81))</x:f>
        <x:v>I20</x:v>
      </x:c>
      <x:c r="J81" s="93" t="str">
        <x:f>IF($M81="","",INDEX('전체 WBS'!$D$1:$D$90,$N81))</x:f>
        <x:v>M2 윤서영</x:v>
      </x:c>
      <x:c r="K81" s="93" t="str">
        <x:f>IF($M81="","",INDEX('전체 WBS'!$E$1:$E$90,$N81))</x:f>
        <x:v>M1 유용수 · M3 홍은서</x:v>
      </x:c>
      <x:c r="L81" s="100" t="str">
        <x:f>IF($M81="","",HYPERLINK(INDEX('전체 WBS'!$AW$1:$AW$90,$N81),"원문"))</x:f>
        <x:v>원문</x:v>
      </x:c>
      <x:c r="M81" s="4" t="n">
        <x:f>IF(74&lt;=COUNTIFS('전체 WBS'!$AR$10:$AV$90,"&lt;1000000000"),SMALL('전체 WBS'!$AR$10:$AV$90,74),"")</x:f>
        <x:v>346329054.0</x:v>
      </x:c>
      <x:c r="N81" s="4" t="n">
        <x:f>IF($M81="","",MOD($M81,1000))</x:f>
        <x:v>54.0</x:v>
      </x:c>
      <x:c r="O81" s="4" t="n">
        <x:f>IF($M81="","",INT($M81/100000000))</x:f>
        <x:v>3.0</x:v>
      </x:c>
    </x:row>
    <x:row r="82" ht="31" customHeight="1">
      <x:c r="A82" s="93" t="str">
        <x:f>IF($M82="","",INDEX('전체 WBS'!$AR$9:$AV$9,1,$O82))</x:f>
        <x:v>M3 홍은서</x:v>
      </x:c>
      <x:c r="B82" s="93" t="str">
        <x:f>IF($M82="","",IF(ISNUMBER(SEARCH($A82,INDEX('전체 WBS'!$D$1:$D$90,$N82))),"주담당","협업"))</x:f>
        <x:v>주담당</x:v>
      </x:c>
      <x:c r="C82" s="93" t="str">
        <x:f>IF($M82="","",INDEX('전체 WBS'!$A$1:$A$90,$N82))</x:f>
        <x:v>I26.1</x:v>
      </x:c>
      <x:c r="D82" s="93" t="str">
        <x:f>IF($M82="","",INDEX('전체 WBS'!$B$1:$B$90,$N82))</x:f>
        <x:v>보안·검증</x:v>
      </x:c>
      <x:c r="E82" s="93" t="str">
        <x:f>IF($M82="","",INDEX('전체 WBS'!$C$1:$C$90,$N82))</x:f>
        <x:v>M3 TO-BE 토폴로지·보안 정책 설계</x:v>
      </x:c>
      <x:c r="F82" s="94" t="str">
        <x:f>IF($M82="","",INDEX('전체 WBS'!$F$1:$F$90,$N82))</x:f>
        <x:v>46329</x:v>
      </x:c>
      <x:c r="G82" s="94" t="str">
        <x:f>IF($M82="","",INDEX('전체 WBS'!$G$1:$G$90,$N82))</x:f>
        <x:v>46329</x:v>
      </x:c>
      <x:c r="H82" s="95" t="str">
        <x:f>IF($M82="","",INDEX('전체 WBS'!$H$1:$H$90,$N82))</x:f>
        <x:v>미확인</x:v>
      </x:c>
      <x:c r="I82" s="93" t="str">
        <x:f>IF($M82="","",INDEX('전체 WBS'!$I$1:$I$90,$N82))</x:f>
        <x:v>I25</x:v>
      </x:c>
      <x:c r="J82" s="93" t="str">
        <x:f>IF($M82="","",INDEX('전체 WBS'!$D$1:$D$90,$N82))</x:f>
        <x:v>M3 홍은서(PL)</x:v>
      </x:c>
      <x:c r="K82" s="93" t="str">
        <x:f>IF($M82="","",INDEX('전체 WBS'!$E$1:$E$90,$N82))</x:f>
        <x:v>M4 박진혁 · M5 유은혜</x:v>
      </x:c>
      <x:c r="L82" s="100" t="str">
        <x:f>IF($M82="","",HYPERLINK(INDEX('전체 WBS'!$AW$1:$AW$90,$N82),"원문"))</x:f>
        <x:v>원문</x:v>
      </x:c>
      <x:c r="M82" s="4" t="n">
        <x:f>IF(75&lt;=COUNTIFS('전체 WBS'!$AR$10:$AV$90,"&lt;1000000000"),SMALL('전체 WBS'!$AR$10:$AV$90,75),"")</x:f>
        <x:v>346329055.0</x:v>
      </x:c>
      <x:c r="N82" s="4" t="n">
        <x:f>IF($M82="","",MOD($M82,1000))</x:f>
        <x:v>55.0</x:v>
      </x:c>
      <x:c r="O82" s="4" t="n">
        <x:f>IF($M82="","",INT($M82/100000000))</x:f>
        <x:v>3.0</x:v>
      </x:c>
    </x:row>
    <x:row r="83" ht="31" customHeight="1">
      <x:c r="A83" s="93" t="str">
        <x:f>IF($M83="","",INDEX('전체 WBS'!$AR$9:$AV$9,1,$O83))</x:f>
        <x:v>M3 홍은서</x:v>
      </x:c>
      <x:c r="B83" s="93" t="str">
        <x:f>IF($M83="","",IF(ISNUMBER(SEARCH($A83,INDEX('전체 WBS'!$D$1:$D$90,$N83))),"주담당","협업"))</x:f>
        <x:v>협업</x:v>
      </x:c>
      <x:c r="C83" s="93" t="str">
        <x:f>IF($M83="","",INDEX('전체 WBS'!$A$1:$A$90,$N83))</x:f>
        <x:v>I31.1</x:v>
      </x:c>
      <x:c r="D83" s="93" t="str">
        <x:f>IF($M83="","",INDEX('전체 WBS'!$B$1:$B$90,$N83))</x:f>
        <x:v>보안·검증</x:v>
      </x:c>
      <x:c r="E83" s="93" t="str">
        <x:f>IF($M83="","",INDEX('전체 WBS'!$C$1:$C$90,$N83))</x:f>
        <x:v>M4 TO-BE 토폴로지·보안 정책 설계</x:v>
      </x:c>
      <x:c r="F83" s="94" t="str">
        <x:f>IF($M83="","",INDEX('전체 WBS'!$F$1:$F$90,$N83))</x:f>
        <x:v>46329</x:v>
      </x:c>
      <x:c r="G83" s="94" t="str">
        <x:f>IF($M83="","",INDEX('전체 WBS'!$G$1:$G$90,$N83))</x:f>
        <x:v>46329</x:v>
      </x:c>
      <x:c r="H83" s="95" t="str">
        <x:f>IF($M83="","",INDEX('전체 WBS'!$H$1:$H$90,$N83))</x:f>
        <x:v>미확인</x:v>
      </x:c>
      <x:c r="I83" s="93" t="str">
        <x:f>IF($M83="","",INDEX('전체 WBS'!$I$1:$I$90,$N83))</x:f>
        <x:v>I30</x:v>
      </x:c>
      <x:c r="J83" s="93" t="str">
        <x:f>IF($M83="","",INDEX('전체 WBS'!$D$1:$D$90,$N83))</x:f>
        <x:v>M4 박진혁</x:v>
      </x:c>
      <x:c r="K83" s="93" t="str">
        <x:f>IF($M83="","",INDEX('전체 WBS'!$E$1:$E$90,$N83))</x:f>
        <x:v>M3 홍은서</x:v>
      </x:c>
      <x:c r="L83" s="100" t="str">
        <x:f>IF($M83="","",HYPERLINK(INDEX('전체 WBS'!$AW$1:$AW$90,$N83),"원문"))</x:f>
        <x:v>원문</x:v>
      </x:c>
      <x:c r="M83" s="4" t="n">
        <x:f>IF(76&lt;=COUNTIFS('전체 WBS'!$AR$10:$AV$90,"&lt;1000000000"),SMALL('전체 WBS'!$AR$10:$AV$90,76),"")</x:f>
        <x:v>346329056.0</x:v>
      </x:c>
      <x:c r="N83" s="4" t="n">
        <x:f>IF($M83="","",MOD($M83,1000))</x:f>
        <x:v>56.0</x:v>
      </x:c>
      <x:c r="O83" s="4" t="n">
        <x:f>IF($M83="","",INT($M83/100000000))</x:f>
        <x:v>3.0</x:v>
      </x:c>
    </x:row>
    <x:row r="84" ht="31" customHeight="1">
      <x:c r="A84" s="93" t="str">
        <x:f>IF($M84="","",INDEX('전체 WBS'!$AR$9:$AV$9,1,$O84))</x:f>
        <x:v>M3 홍은서</x:v>
      </x:c>
      <x:c r="B84" s="93" t="str">
        <x:f>IF($M84="","",IF(ISNUMBER(SEARCH($A84,INDEX('전체 WBS'!$D$1:$D$90,$N84))),"주담당","협업"))</x:f>
        <x:v>협업</x:v>
      </x:c>
      <x:c r="C84" s="93" t="str">
        <x:f>IF($M84="","",INDEX('전체 WBS'!$A$1:$A$90,$N84))</x:f>
        <x:v>I36.1</x:v>
      </x:c>
      <x:c r="D84" s="93" t="str">
        <x:f>IF($M84="","",INDEX('전체 WBS'!$B$1:$B$90,$N84))</x:f>
        <x:v>보안·검증</x:v>
      </x:c>
      <x:c r="E84" s="93" t="str">
        <x:f>IF($M84="","",INDEX('전체 WBS'!$C$1:$C$90,$N84))</x:f>
        <x:v>M5 TO-BE 토폴로지·보안 정책 설계</x:v>
      </x:c>
      <x:c r="F84" s="94" t="str">
        <x:f>IF($M84="","",INDEX('전체 WBS'!$F$1:$F$90,$N84))</x:f>
        <x:v>46329</x:v>
      </x:c>
      <x:c r="G84" s="94" t="str">
        <x:f>IF($M84="","",INDEX('전체 WBS'!$G$1:$G$90,$N84))</x:f>
        <x:v>46329</x:v>
      </x:c>
      <x:c r="H84" s="95" t="str">
        <x:f>IF($M84="","",INDEX('전체 WBS'!$H$1:$H$90,$N84))</x:f>
        <x:v>미확인</x:v>
      </x:c>
      <x:c r="I84" s="93" t="str">
        <x:f>IF($M84="","",INDEX('전체 WBS'!$I$1:$I$90,$N84))</x:f>
        <x:v>I35</x:v>
      </x:c>
      <x:c r="J84" s="93" t="str">
        <x:f>IF($M84="","",INDEX('전체 WBS'!$D$1:$D$90,$N84))</x:f>
        <x:v>M5 유은혜(PM)</x:v>
      </x:c>
      <x:c r="K84" s="93" t="str">
        <x:f>IF($M84="","",INDEX('전체 WBS'!$E$1:$E$90,$N84))</x:f>
        <x:v>M3 홍은서</x:v>
      </x:c>
      <x:c r="L84" s="100" t="str">
        <x:f>IF($M84="","",HYPERLINK(INDEX('전체 WBS'!$AW$1:$AW$90,$N84),"원문"))</x:f>
        <x:v>원문</x:v>
      </x:c>
      <x:c r="M84" s="4" t="n">
        <x:f>IF(77&lt;=COUNTIFS('전체 WBS'!$AR$10:$AV$90,"&lt;1000000000"),SMALL('전체 WBS'!$AR$10:$AV$90,77),"")</x:f>
        <x:v>346329057.0</x:v>
      </x:c>
      <x:c r="N84" s="4" t="n">
        <x:f>IF($M84="","",MOD($M84,1000))</x:f>
        <x:v>57.0</x:v>
      </x:c>
      <x:c r="O84" s="4" t="n">
        <x:f>IF($M84="","",INT($M84/100000000))</x:f>
        <x:v>3.0</x:v>
      </x:c>
    </x:row>
    <x:row r="85" ht="31" customHeight="1">
      <x:c r="A85" s="93" t="str">
        <x:f>IF($M85="","",INDEX('전체 WBS'!$AR$9:$AV$9,1,$O85))</x:f>
        <x:v>M3 홍은서</x:v>
      </x:c>
      <x:c r="B85" s="93" t="str">
        <x:f>IF($M85="","",IF(ISNUMBER(SEARCH($A85,INDEX('전체 WBS'!$D$1:$D$90,$N85))),"주담당","협업"))</x:f>
        <x:v>협업</x:v>
      </x:c>
      <x:c r="C85" s="93" t="str">
        <x:f>IF($M85="","",INDEX('전체 WBS'!$A$1:$A$90,$N85))</x:f>
        <x:v>D6.2</x:v>
      </x:c>
      <x:c r="D85" s="93" t="str">
        <x:f>IF($M85="","",INDEX('전체 WBS'!$B$1:$B$90,$N85))</x:f>
        <x:v>개발</x:v>
      </x:c>
      <x:c r="E85" s="93" t="str">
        <x:f>IF($M85="","",INDEX('전체 WBS'!$C$1:$C$90,$N85))</x:f>
        <x:v>한국 CD 구성·AI 서비스 배포</x:v>
      </x:c>
      <x:c r="F85" s="94" t="str">
        <x:f>IF($M85="","",INDEX('전체 WBS'!$F$1:$F$90,$N85))</x:f>
        <x:v>46330</x:v>
      </x:c>
      <x:c r="G85" s="94" t="str">
        <x:f>IF($M85="","",INDEX('전체 WBS'!$G$1:$G$90,$N85))</x:f>
        <x:v>46330</x:v>
      </x:c>
      <x:c r="H85" s="95" t="str">
        <x:f>IF($M85="","",INDEX('전체 WBS'!$H$1:$H$90,$N85))</x:f>
        <x:v>미확인</x:v>
      </x:c>
      <x:c r="I85" s="93" t="str">
        <x:f>IF($M85="","",INDEX('전체 WBS'!$I$1:$I$90,$N85))</x:f>
        <x:v>D6.1, I26.2, D7</x:v>
      </x:c>
      <x:c r="J85" s="93" t="str">
        <x:f>IF($M85="","",INDEX('전체 WBS'!$D$1:$D$90,$N85))</x:f>
        <x:v>M5 유은혜(PM)</x:v>
      </x:c>
      <x:c r="K85" s="93" t="str">
        <x:f>IF($M85="","",INDEX('전체 WBS'!$E$1:$E$90,$N85))</x:f>
        <x:v>M3 홍은서</x:v>
      </x:c>
      <x:c r="L85" s="100" t="str">
        <x:f>IF($M85="","",HYPERLINK(INDEX('전체 WBS'!$AW$1:$AW$90,$N85),"원문"))</x:f>
        <x:v>원문</x:v>
      </x:c>
      <x:c r="M85" s="4" t="n">
        <x:f>IF(78&lt;=COUNTIFS('전체 WBS'!$AR$10:$AV$90,"&lt;1000000000"),SMALL('전체 WBS'!$AR$10:$AV$90,78),"")</x:f>
        <x:v>346330040.0</x:v>
      </x:c>
      <x:c r="N85" s="4" t="n">
        <x:f>IF($M85="","",MOD($M85,1000))</x:f>
        <x:v>40.0</x:v>
      </x:c>
      <x:c r="O85" s="4" t="n">
        <x:f>IF($M85="","",INT($M85/100000000))</x:f>
        <x:v>3.0</x:v>
      </x:c>
    </x:row>
    <x:row r="86" ht="31" customHeight="1">
      <x:c r="A86" s="93" t="str">
        <x:f>IF($M86="","",INDEX('전체 WBS'!$AR$9:$AV$9,1,$O86))</x:f>
        <x:v>M3 홍은서</x:v>
      </x:c>
      <x:c r="B86" s="93" t="str">
        <x:f>IF($M86="","",IF(ISNUMBER(SEARCH($A86,INDEX('전체 WBS'!$D$1:$D$90,$N86))),"주담당","협업"))</x:f>
        <x:v>주담당</x:v>
      </x:c>
      <x:c r="C86" s="93" t="str">
        <x:f>IF($M86="","",INDEX('전체 WBS'!$A$1:$A$90,$N86))</x:f>
        <x:v>I26.2</x:v>
      </x:c>
      <x:c r="D86" s="93" t="str">
        <x:f>IF($M86="","",INDEX('전체 WBS'!$B$1:$B$90,$N86))</x:f>
        <x:v>보안·검증</x:v>
      </x:c>
      <x:c r="E86" s="93" t="str">
        <x:f>IF($M86="","",INDEX('전체 WBS'!$C$1:$C$90,$N86))</x:f>
        <x:v>S03·S05 접근제어·앱 부하 분산 적용</x:v>
      </x:c>
      <x:c r="F86" s="94" t="str">
        <x:f>IF($M86="","",INDEX('전체 WBS'!$F$1:$F$90,$N86))</x:f>
        <x:v>46330</x:v>
      </x:c>
      <x:c r="G86" s="94" t="str">
        <x:f>IF($M86="","",INDEX('전체 WBS'!$G$1:$G$90,$N86))</x:f>
        <x:v>46330</x:v>
      </x:c>
      <x:c r="H86" s="95" t="str">
        <x:f>IF($M86="","",INDEX('전체 WBS'!$H$1:$H$90,$N86))</x:f>
        <x:v>미확인</x:v>
      </x:c>
      <x:c r="I86" s="93" t="str">
        <x:f>IF($M86="","",INDEX('전체 WBS'!$I$1:$I$90,$N86))</x:f>
        <x:v>I26.1, I36.1</x:v>
      </x:c>
      <x:c r="J86" s="93" t="str">
        <x:f>IF($M86="","",INDEX('전체 WBS'!$D$1:$D$90,$N86))</x:f>
        <x:v>M3 홍은서(PL)</x:v>
      </x:c>
      <x:c r="K86" s="93" t="str">
        <x:f>IF($M86="","",INDEX('전체 WBS'!$E$1:$E$90,$N86))</x:f>
        <x:v>M5 유은혜</x:v>
      </x:c>
      <x:c r="L86" s="100" t="str">
        <x:f>IF($M86="","",HYPERLINK(INDEX('전체 WBS'!$AW$1:$AW$90,$N86),"원문"))</x:f>
        <x:v>원문</x:v>
      </x:c>
      <x:c r="M86" s="4" t="n">
        <x:f>IF(79&lt;=COUNTIFS('전체 WBS'!$AR$10:$AV$90,"&lt;1000000000"),SMALL('전체 WBS'!$AR$10:$AV$90,79),"")</x:f>
        <x:v>346330061.0</x:v>
      </x:c>
      <x:c r="N86" s="4" t="n">
        <x:f>IF($M86="","",MOD($M86,1000))</x:f>
        <x:v>61.0</x:v>
      </x:c>
      <x:c r="O86" s="4" t="n">
        <x:f>IF($M86="","",INT($M86/100000000))</x:f>
        <x:v>3.0</x:v>
      </x:c>
    </x:row>
    <x:row r="87" ht="31" customHeight="1">
      <x:c r="A87" s="93" t="str">
        <x:f>IF($M87="","",INDEX('전체 WBS'!$AR$9:$AV$9,1,$O87))</x:f>
        <x:v>M3 홍은서</x:v>
      </x:c>
      <x:c r="B87" s="93" t="str">
        <x:f>IF($M87="","",IF(ISNUMBER(SEARCH($A87,INDEX('전체 WBS'!$D$1:$D$90,$N87))),"주담당","협업"))</x:f>
        <x:v>주담당</x:v>
      </x:c>
      <x:c r="C87" s="93" t="str">
        <x:f>IF($M87="","",INDEX('전체 WBS'!$A$1:$A$90,$N87))</x:f>
        <x:v>I26.3</x:v>
      </x:c>
      <x:c r="D87" s="93" t="str">
        <x:f>IF($M87="","",INDEX('전체 WBS'!$B$1:$B$90,$N87))</x:f>
        <x:v>인프라</x:v>
      </x:c>
      <x:c r="E87" s="93" t="str">
        <x:f>IF($M87="","",INDEX('전체 WBS'!$C$1:$C$90,$N87))</x:f>
        <x:v>Nginx B·VIP 구성</x:v>
      </x:c>
      <x:c r="F87" s="94" t="str">
        <x:f>IF($M87="","",INDEX('전체 WBS'!$F$1:$F$90,$N87))</x:f>
        <x:v>46331</x:v>
      </x:c>
      <x:c r="G87" s="94" t="str">
        <x:f>IF($M87="","",INDEX('전체 WBS'!$G$1:$G$90,$N87))</x:f>
        <x:v>46331</x:v>
      </x:c>
      <x:c r="H87" s="95" t="str">
        <x:f>IF($M87="","",INDEX('전체 WBS'!$H$1:$H$90,$N87))</x:f>
        <x:v>미확인</x:v>
      </x:c>
      <x:c r="I87" s="93" t="str">
        <x:f>IF($M87="","",INDEX('전체 WBS'!$I$1:$I$90,$N87))</x:f>
        <x:v>I26.1</x:v>
      </x:c>
      <x:c r="J87" s="93" t="str">
        <x:f>IF($M87="","",INDEX('전체 WBS'!$D$1:$D$90,$N87))</x:f>
        <x:v>M3 홍은서(PL)</x:v>
      </x:c>
      <x:c r="K87" s="93" t="str">
        <x:f>IF($M87="","",INDEX('전체 WBS'!$E$1:$E$90,$N87))</x:f>
        <x:v>—</x:v>
      </x:c>
      <x:c r="L87" s="100" t="str">
        <x:f>IF($M87="","",HYPERLINK(INDEX('전체 WBS'!$AW$1:$AW$90,$N87),"원문"))</x:f>
        <x:v>원문</x:v>
      </x:c>
      <x:c r="M87" s="4" t="n">
        <x:f>IF(80&lt;=COUNTIFS('전체 WBS'!$AR$10:$AV$90,"&lt;1000000000"),SMALL('전체 WBS'!$AR$10:$AV$90,80),"")</x:f>
        <x:v>346331062.0</x:v>
      </x:c>
      <x:c r="N87" s="4" t="n">
        <x:f>IF($M87="","",MOD($M87,1000))</x:f>
        <x:v>62.0</x:v>
      </x:c>
      <x:c r="O87" s="4" t="n">
        <x:f>IF($M87="","",INT($M87/100000000))</x:f>
        <x:v>3.0</x:v>
      </x:c>
    </x:row>
    <x:row r="88" ht="31" customHeight="1">
      <x:c r="A88" s="93" t="str">
        <x:f>IF($M88="","",INDEX('전체 WBS'!$AR$9:$AV$9,1,$O88))</x:f>
        <x:v>M3 홍은서</x:v>
      </x:c>
      <x:c r="B88" s="93" t="str">
        <x:f>IF($M88="","",IF(ISNUMBER(SEARCH($A88,INDEX('전체 WBS'!$D$1:$D$90,$N88))),"주담당","협업"))</x:f>
        <x:v>협업</x:v>
      </x:c>
      <x:c r="C88" s="93" t="str">
        <x:f>IF($M88="","",INDEX('전체 WBS'!$A$1:$A$90,$N88))</x:f>
        <x:v>I31.3</x:v>
      </x:c>
      <x:c r="D88" s="93" t="str">
        <x:f>IF($M88="","",INDEX('전체 WBS'!$B$1:$B$90,$N88))</x:f>
        <x:v>인프라</x:v>
      </x:c>
      <x:c r="E88" s="93" t="str">
        <x:f>IF($M88="","",INDEX('전체 WBS'!$C$1:$C$90,$N88))</x:f>
        <x:v>원본·복제 DB 초기 동기화</x:v>
      </x:c>
      <x:c r="F88" s="94" t="str">
        <x:f>IF($M88="","",INDEX('전체 WBS'!$F$1:$F$90,$N88))</x:f>
        <x:v>46331</x:v>
      </x:c>
      <x:c r="G88" s="94" t="str">
        <x:f>IF($M88="","",INDEX('전체 WBS'!$G$1:$G$90,$N88))</x:f>
        <x:v>46331</x:v>
      </x:c>
      <x:c r="H88" s="95" t="str">
        <x:f>IF($M88="","",INDEX('전체 WBS'!$H$1:$H$90,$N88))</x:f>
        <x:v>미확인</x:v>
      </x:c>
      <x:c r="I88" s="93" t="str">
        <x:f>IF($M88="","",INDEX('전체 WBS'!$I$1:$I$90,$N88))</x:f>
        <x:v>I31.1, C10.2</x:v>
      </x:c>
      <x:c r="J88" s="93" t="str">
        <x:f>IF($M88="","",INDEX('전체 WBS'!$D$1:$D$90,$N88))</x:f>
        <x:v>M4 박진혁</x:v>
      </x:c>
      <x:c r="K88" s="93" t="str">
        <x:f>IF($M88="","",INDEX('전체 WBS'!$E$1:$E$90,$N88))</x:f>
        <x:v>M3 홍은서</x:v>
      </x:c>
      <x:c r="L88" s="100" t="str">
        <x:f>IF($M88="","",HYPERLINK(INDEX('전체 WBS'!$AW$1:$AW$90,$N88),"원문"))</x:f>
        <x:v>원문</x:v>
      </x:c>
      <x:c r="M88" s="4" t="n">
        <x:f>IF(81&lt;=COUNTIFS('전체 WBS'!$AR$10:$AV$90,"&lt;1000000000"),SMALL('전체 WBS'!$AR$10:$AV$90,81),"")</x:f>
        <x:v>346331065.0</x:v>
      </x:c>
      <x:c r="N88" s="4" t="n">
        <x:f>IF($M88="","",MOD($M88,1000))</x:f>
        <x:v>65.0</x:v>
      </x:c>
      <x:c r="O88" s="4" t="n">
        <x:f>IF($M88="","",INT($M88/100000000))</x:f>
        <x:v>3.0</x:v>
      </x:c>
    </x:row>
    <x:row r="89" ht="31" customHeight="1">
      <x:c r="A89" s="93" t="str">
        <x:f>IF($M89="","",INDEX('전체 WBS'!$AR$9:$AV$9,1,$O89))</x:f>
        <x:v>M3 홍은서</x:v>
      </x:c>
      <x:c r="B89" s="93" t="str">
        <x:f>IF($M89="","",IF(ISNUMBER(SEARCH($A89,INDEX('전체 WBS'!$D$1:$D$90,$N89))),"주담당","협업"))</x:f>
        <x:v>협업</x:v>
      </x:c>
      <x:c r="C89" s="93" t="str">
        <x:f>IF($M89="","",INDEX('전체 WBS'!$A$1:$A$90,$N89))</x:f>
        <x:v>C8</x:v>
      </x:c>
      <x:c r="D89" s="93" t="str">
        <x:f>IF($M89="","",INDEX('전체 WBS'!$B$1:$B$90,$N89))</x:f>
        <x:v>개발</x:v>
      </x:c>
      <x:c r="E89" s="93" t="str">
        <x:f>IF($M89="","",INDEX('전체 WBS'!$C$1:$C$90,$N89))</x:f>
        <x:v>앱·AI·CI/CD 통합 테스트</x:v>
      </x:c>
      <x:c r="F89" s="94" t="str">
        <x:f>IF($M89="","",INDEX('전체 WBS'!$F$1:$F$90,$N89))</x:f>
        <x:v>46332</x:v>
      </x:c>
      <x:c r="G89" s="94" t="str">
        <x:f>IF($M89="","",INDEX('전체 WBS'!$G$1:$G$90,$N89))</x:f>
        <x:v>46332</x:v>
      </x:c>
      <x:c r="H89" s="95" t="str">
        <x:f>IF($M89="","",INDEX('전체 WBS'!$H$1:$H$90,$N89))</x:f>
        <x:v>미확인</x:v>
      </x:c>
      <x:c r="I89" s="93" t="str">
        <x:f>IF($M89="","",INDEX('전체 WBS'!$I$1:$I$90,$N89))</x:f>
        <x:v>D4.1, D4.2, D4.3, D5.3, D6.2, D6.3, D7</x:v>
      </x:c>
      <x:c r="J89" s="93" t="str">
        <x:f>IF($M89="","",INDEX('전체 WBS'!$D$1:$D$90,$N89))</x:f>
        <x:v>M5 유은혜(PM)</x:v>
      </x:c>
      <x:c r="K89" s="93" t="str">
        <x:f>IF($M89="","",INDEX('전체 WBS'!$E$1:$E$90,$N89))</x:f>
        <x:v>M1 유용수 · M2 윤서영
M3 홍은서</x:v>
      </x:c>
      <x:c r="L89" s="100" t="str">
        <x:f>IF($M89="","",HYPERLINK(INDEX('전체 WBS'!$AW$1:$AW$90,$N89),"원문"))</x:f>
        <x:v>원문</x:v>
      </x:c>
      <x:c r="M89" s="4" t="n">
        <x:f>IF(82&lt;=COUNTIFS('전체 WBS'!$AR$10:$AV$90,"&lt;1000000000"),SMALL('전체 WBS'!$AR$10:$AV$90,82),"")</x:f>
        <x:v>346332043.0</x:v>
      </x:c>
      <x:c r="N89" s="4" t="n">
        <x:f>IF($M89="","",MOD($M89,1000))</x:f>
        <x:v>43.0</x:v>
      </x:c>
      <x:c r="O89" s="4" t="n">
        <x:f>IF($M89="","",INT($M89/100000000))</x:f>
        <x:v>3.0</x:v>
      </x:c>
    </x:row>
    <x:row r="90" ht="31" customHeight="1">
      <x:c r="A90" s="93" t="str">
        <x:f>IF($M90="","",INDEX('전체 WBS'!$AR$9:$AV$9,1,$O90))</x:f>
        <x:v>M3 홍은서</x:v>
      </x:c>
      <x:c r="B90" s="93" t="str">
        <x:f>IF($M90="","",IF(ISNUMBER(SEARCH($A90,INDEX('전체 WBS'!$D$1:$D$90,$N90))),"주담당","협업"))</x:f>
        <x:v>주담당</x:v>
      </x:c>
      <x:c r="C90" s="93" t="str">
        <x:f>IF($M90="","",INDEX('전체 WBS'!$A$1:$A$90,$N90))</x:f>
        <x:v>I26.4</x:v>
      </x:c>
      <x:c r="D90" s="93" t="str">
        <x:f>IF($M90="","",INDEX('전체 WBS'!$B$1:$B$90,$N90))</x:f>
        <x:v>보안·검증</x:v>
      </x:c>
      <x:c r="E90" s="93" t="str">
        <x:f>IF($M90="","",INDEX('전체 WBS'!$C$1:$C$90,$N90))</x:f>
        <x:v>M3 개선 설정 통합 검증</x:v>
      </x:c>
      <x:c r="F90" s="94" t="str">
        <x:f>IF($M90="","",INDEX('전체 WBS'!$F$1:$F$90,$N90))</x:f>
        <x:v>46332</x:v>
      </x:c>
      <x:c r="G90" s="94" t="str">
        <x:f>IF($M90="","",INDEX('전체 WBS'!$G$1:$G$90,$N90))</x:f>
        <x:v>46332</x:v>
      </x:c>
      <x:c r="H90" s="95" t="str">
        <x:f>IF($M90="","",INDEX('전체 WBS'!$H$1:$H$90,$N90))</x:f>
        <x:v>미확인</x:v>
      </x:c>
      <x:c r="I90" s="93" t="str">
        <x:f>IF($M90="","",INDEX('전체 WBS'!$I$1:$I$90,$N90))</x:f>
        <x:v>I26.2, I26.3, D6.2, D7</x:v>
      </x:c>
      <x:c r="J90" s="93" t="str">
        <x:f>IF($M90="","",INDEX('전체 WBS'!$D$1:$D$90,$N90))</x:f>
        <x:v>M3 홍은서(PL)</x:v>
      </x:c>
      <x:c r="K90" s="93" t="str">
        <x:f>IF($M90="","",INDEX('전체 WBS'!$E$1:$E$90,$N90))</x:f>
        <x:v>M5 유은혜</x:v>
      </x:c>
      <x:c r="L90" s="100" t="str">
        <x:f>IF($M90="","",HYPERLINK(INDEX('전체 WBS'!$AW$1:$AW$90,$N90),"원문"))</x:f>
        <x:v>원문</x:v>
      </x:c>
      <x:c r="M90" s="4" t="n">
        <x:f>IF(83&lt;=COUNTIFS('전체 WBS'!$AR$10:$AV$90,"&lt;1000000000"),SMALL('전체 WBS'!$AR$10:$AV$90,83),"")</x:f>
        <x:v>346332069.0</x:v>
      </x:c>
      <x:c r="N90" s="4" t="n">
        <x:f>IF($M90="","",MOD($M90,1000))</x:f>
        <x:v>69.0</x:v>
      </x:c>
      <x:c r="O90" s="4" t="n">
        <x:f>IF($M90="","",INT($M90/100000000))</x:f>
        <x:v>3.0</x:v>
      </x:c>
    </x:row>
    <x:row r="91" ht="31" customHeight="1">
      <x:c r="A91" s="93" t="str">
        <x:f>IF($M91="","",INDEX('전체 WBS'!$AR$9:$AV$9,1,$O91))</x:f>
        <x:v>M3 홍은서</x:v>
      </x:c>
      <x:c r="B91" s="93" t="str">
        <x:f>IF($M91="","",IF(ISNUMBER(SEARCH($A91,INDEX('전체 WBS'!$D$1:$D$90,$N91))),"주담당","협업"))</x:f>
        <x:v>협업</x:v>
      </x:c>
      <x:c r="C91" s="93" t="str">
        <x:f>IF($M91="","",INDEX('전체 WBS'!$A$1:$A$90,$N91))</x:f>
        <x:v>I36.2</x:v>
      </x:c>
      <x:c r="D91" s="93" t="str">
        <x:f>IF($M91="","",INDEX('전체 WBS'!$B$1:$B$90,$N91))</x:f>
        <x:v>보안·검증</x:v>
      </x:c>
      <x:c r="E91" s="93" t="str">
        <x:f>IF($M91="","",INDEX('전체 WBS'!$C$1:$C$90,$N91))</x:f>
        <x:v>S05 접근제어·캐나다 통신 경로 검증</x:v>
      </x:c>
      <x:c r="F91" s="94" t="str">
        <x:f>IF($M91="","",INDEX('전체 WBS'!$F$1:$F$90,$N91))</x:f>
        <x:v>46332</x:v>
      </x:c>
      <x:c r="G91" s="94" t="str">
        <x:f>IF($M91="","",INDEX('전체 WBS'!$G$1:$G$90,$N91))</x:f>
        <x:v>46332</x:v>
      </x:c>
      <x:c r="H91" s="95" t="str">
        <x:f>IF($M91="","",INDEX('전체 WBS'!$H$1:$H$90,$N91))</x:f>
        <x:v>미확인</x:v>
      </x:c>
      <x:c r="I91" s="93" t="str">
        <x:f>IF($M91="","",INDEX('전체 WBS'!$I$1:$I$90,$N91))</x:f>
        <x:v>I26.2, I36.1</x:v>
      </x:c>
      <x:c r="J91" s="93" t="str">
        <x:f>IF($M91="","",INDEX('전체 WBS'!$D$1:$D$90,$N91))</x:f>
        <x:v>M5 유은혜(PM)</x:v>
      </x:c>
      <x:c r="K91" s="93" t="str">
        <x:f>IF($M91="","",INDEX('전체 WBS'!$E$1:$E$90,$N91))</x:f>
        <x:v>M3 홍은서</x:v>
      </x:c>
      <x:c r="L91" s="100" t="str">
        <x:f>IF($M91="","",HYPERLINK(INDEX('전체 WBS'!$AW$1:$AW$90,$N91),"원문"))</x:f>
        <x:v>원문</x:v>
      </x:c>
      <x:c r="M91" s="4" t="n">
        <x:f>IF(84&lt;=COUNTIFS('전체 WBS'!$AR$10:$AV$90,"&lt;1000000000"),SMALL('전체 WBS'!$AR$10:$AV$90,84),"")</x:f>
        <x:v>346332070.0</x:v>
      </x:c>
      <x:c r="N91" s="4" t="n">
        <x:f>IF($M91="","",MOD($M91,1000))</x:f>
        <x:v>70.0</x:v>
      </x:c>
      <x:c r="O91" s="4" t="n">
        <x:f>IF($M91="","",INT($M91/100000000))</x:f>
        <x:v>3.0</x:v>
      </x:c>
    </x:row>
    <x:row r="92" ht="31" customHeight="1">
      <x:c r="A92" s="93" t="str">
        <x:f>IF($M92="","",INDEX('전체 WBS'!$AR$9:$AV$9,1,$O92))</x:f>
        <x:v>M3 홍은서</x:v>
      </x:c>
      <x:c r="B92" s="93" t="str">
        <x:f>IF($M92="","",IF(ISNUMBER(SEARCH($A92,INDEX('전체 WBS'!$D$1:$D$90,$N92))),"주담당","협업"))</x:f>
        <x:v>주담당</x:v>
      </x:c>
      <x:c r="C92" s="93" t="str">
        <x:f>IF($M92="","",INDEX('전체 WBS'!$A$1:$A$90,$N92))</x:f>
        <x:v>C11.2</x:v>
      </x:c>
      <x:c r="D92" s="93" t="str">
        <x:f>IF($M92="","",INDEX('전체 WBS'!$B$1:$B$90,$N92))</x:f>
        <x:v>보안·검증</x:v>
      </x:c>
      <x:c r="E92" s="93" t="str">
        <x:f>IF($M92="","",INDEX('전체 WBS'!$C$1:$C$90,$N92))</x:f>
        <x:v>앱·노드·VIP 장애 복구 테스트</x:v>
      </x:c>
      <x:c r="F92" s="94" t="str">
        <x:f>IF($M92="","",INDEX('전체 WBS'!$F$1:$F$90,$N92))</x:f>
        <x:v>46332</x:v>
      </x:c>
      <x:c r="G92" s="94" t="str">
        <x:f>IF($M92="","",INDEX('전체 WBS'!$G$1:$G$90,$N92))</x:f>
        <x:v>46336</x:v>
      </x:c>
      <x:c r="H92" s="95" t="str">
        <x:f>IF($M92="","",INDEX('전체 WBS'!$H$1:$H$90,$N92))</x:f>
        <x:v>미확인</x:v>
      </x:c>
      <x:c r="I92" s="93" t="str">
        <x:f>IF($M92="","",INDEX('전체 WBS'!$I$1:$I$90,$N92))</x:f>
        <x:v>C11.1, I26.4</x:v>
      </x:c>
      <x:c r="J92" s="93" t="str">
        <x:f>IF($M92="","",INDEX('전체 WBS'!$D$1:$D$90,$N92))</x:f>
        <x:v>M3 홍은서(PL)</x:v>
      </x:c>
      <x:c r="K92" s="93" t="str">
        <x:f>IF($M92="","",INDEX('전체 WBS'!$E$1:$E$90,$N92))</x:f>
        <x:v>M5 유은혜</x:v>
      </x:c>
      <x:c r="L92" s="100" t="str">
        <x:f>IF($M92="","",HYPERLINK(INDEX('전체 WBS'!$AW$1:$AW$90,$N92),"원문"))</x:f>
        <x:v>원문</x:v>
      </x:c>
      <x:c r="M92" s="4" t="n">
        <x:f>IF(85&lt;=COUNTIFS('전체 WBS'!$AR$10:$AV$90,"&lt;1000000000"),SMALL('전체 WBS'!$AR$10:$AV$90,85),"")</x:f>
        <x:v>346332078.0</x:v>
      </x:c>
      <x:c r="N92" s="4" t="n">
        <x:f>IF($M92="","",MOD($M92,1000))</x:f>
        <x:v>78.0</x:v>
      </x:c>
      <x:c r="O92" s="4" t="n">
        <x:f>IF($M92="","",INT($M92/100000000))</x:f>
        <x:v>3.0</x:v>
      </x:c>
    </x:row>
    <x:row r="93" ht="31" customHeight="1">
      <x:c r="A93" s="93" t="str">
        <x:f>IF($M93="","",INDEX('전체 WBS'!$AR$9:$AV$9,1,$O93))</x:f>
        <x:v>M3 홍은서</x:v>
      </x:c>
      <x:c r="B93" s="93" t="str">
        <x:f>IF($M93="","",IF(ISNUMBER(SEARCH($A93,INDEX('전체 WBS'!$D$1:$D$90,$N93))),"주담당","협업"))</x:f>
        <x:v>협업</x:v>
      </x:c>
      <x:c r="C93" s="93" t="str">
        <x:f>IF($M93="","",INDEX('전체 WBS'!$A$1:$A$90,$N93))</x:f>
        <x:v>D8</x:v>
      </x:c>
      <x:c r="D93" s="93" t="str">
        <x:f>IF($M93="","",INDEX('전체 WBS'!$B$1:$B$90,$N93))</x:f>
        <x:v>개발</x:v>
      </x:c>
      <x:c r="E93" s="93" t="str">
        <x:f>IF($M93="","",INDEX('전체 WBS'!$C$1:$C$90,$N93))</x:f>
        <x:v>앱 회귀 테스트·배포 롤백 검증</x:v>
      </x:c>
      <x:c r="F93" s="94" t="str">
        <x:f>IF($M93="","",INDEX('전체 WBS'!$F$1:$F$90,$N93))</x:f>
        <x:v>46335</x:v>
      </x:c>
      <x:c r="G93" s="94" t="str">
        <x:f>IF($M93="","",INDEX('전체 WBS'!$G$1:$G$90,$N93))</x:f>
        <x:v>46336</x:v>
      </x:c>
      <x:c r="H93" s="95" t="str">
        <x:f>IF($M93="","",INDEX('전체 WBS'!$H$1:$H$90,$N93))</x:f>
        <x:v>미확인</x:v>
      </x:c>
      <x:c r="I93" s="93" t="str">
        <x:f>IF($M93="","",INDEX('전체 WBS'!$I$1:$I$90,$N93))</x:f>
        <x:v>C8, I16.3, I21.3, I26.4</x:v>
      </x:c>
      <x:c r="J93" s="93" t="str">
        <x:f>IF($M93="","",INDEX('전체 WBS'!$D$1:$D$90,$N93))</x:f>
        <x:v>M5 유은혜(PM)</x:v>
      </x:c>
      <x:c r="K93" s="93" t="str">
        <x:f>IF($M93="","",INDEX('전체 WBS'!$E$1:$E$90,$N93))</x:f>
        <x:v>M1 유용수 · M2 윤서영
M3 홍은서</x:v>
      </x:c>
      <x:c r="L93" s="100" t="str">
        <x:f>IF($M93="","",HYPERLINK(INDEX('전체 WBS'!$AW$1:$AW$90,$N93),"원문"))</x:f>
        <x:v>원문</x:v>
      </x:c>
      <x:c r="M93" s="4" t="n">
        <x:f>IF(86&lt;=COUNTIFS('전체 WBS'!$AR$10:$AV$90,"&lt;1000000000"),SMALL('전체 WBS'!$AR$10:$AV$90,86),"")</x:f>
        <x:v>346335044.0</x:v>
      </x:c>
      <x:c r="N93" s="4" t="n">
        <x:f>IF($M93="","",MOD($M93,1000))</x:f>
        <x:v>44.0</x:v>
      </x:c>
      <x:c r="O93" s="4" t="n">
        <x:f>IF($M93="","",INT($M93/100000000))</x:f>
        <x:v>3.0</x:v>
      </x:c>
    </x:row>
    <x:row r="94" ht="31" customHeight="1">
      <x:c r="A94" s="93" t="str">
        <x:f>IF($M94="","",INDEX('전체 WBS'!$AR$9:$AV$9,1,$O94))</x:f>
        <x:v>M3 홍은서</x:v>
      </x:c>
      <x:c r="B94" s="93" t="str">
        <x:f>IF($M94="","",IF(ISNUMBER(SEARCH($A94,INDEX('전체 WBS'!$D$1:$D$90,$N94))),"주담당","협업"))</x:f>
        <x:v>주담당</x:v>
      </x:c>
      <x:c r="C94" s="93" t="str">
        <x:f>IF($M94="","",INDEX('전체 WBS'!$A$1:$A$90,$N94))</x:f>
        <x:v>I27</x:v>
      </x:c>
      <x:c r="D94" s="93" t="str">
        <x:f>IF($M94="","",INDEX('전체 WBS'!$B$1:$B$90,$N94))</x:f>
        <x:v>보안·검증</x:v>
      </x:c>
      <x:c r="E94" s="93" t="str">
        <x:f>IF($M94="","",INDEX('전체 WBS'!$C$1:$C$90,$N94))</x:f>
        <x:v>S03 재공격·정상 동작 검증</x:v>
      </x:c>
      <x:c r="F94" s="94" t="str">
        <x:f>IF($M94="","",INDEX('전체 WBS'!$F$1:$F$90,$N94))</x:f>
        <x:v>46335</x:v>
      </x:c>
      <x:c r="G94" s="94" t="str">
        <x:f>IF($M94="","",INDEX('전체 WBS'!$G$1:$G$90,$N94))</x:f>
        <x:v>46336</x:v>
      </x:c>
      <x:c r="H94" s="95" t="str">
        <x:f>IF($M94="","",INDEX('전체 WBS'!$H$1:$H$90,$N94))</x:f>
        <x:v>미확인</x:v>
      </x:c>
      <x:c r="I94" s="93" t="str">
        <x:f>IF($M94="","",INDEX('전체 WBS'!$I$1:$I$90,$N94))</x:f>
        <x:v>I26.4</x:v>
      </x:c>
      <x:c r="J94" s="93" t="str">
        <x:f>IF($M94="","",INDEX('전체 WBS'!$D$1:$D$90,$N94))</x:f>
        <x:v>M3 홍은서(PL)</x:v>
      </x:c>
      <x:c r="K94" s="93" t="str">
        <x:f>IF($M94="","",INDEX('전체 WBS'!$E$1:$E$90,$N94))</x:f>
        <x:v>M1 유용수</x:v>
      </x:c>
      <x:c r="L94" s="100" t="str">
        <x:f>IF($M94="","",HYPERLINK(INDEX('전체 WBS'!$AW$1:$AW$90,$N94),"원문"))</x:f>
        <x:v>원문</x:v>
      </x:c>
      <x:c r="M94" s="4" t="n">
        <x:f>IF(87&lt;=COUNTIFS('전체 WBS'!$AR$10:$AV$90,"&lt;1000000000"),SMALL('전체 WBS'!$AR$10:$AV$90,87),"")</x:f>
        <x:v>346335074.0</x:v>
      </x:c>
      <x:c r="N94" s="4" t="n">
        <x:f>IF($M94="","",MOD($M94,1000))</x:f>
        <x:v>74.0</x:v>
      </x:c>
      <x:c r="O94" s="4" t="n">
        <x:f>IF($M94="","",INT($M94/100000000))</x:f>
        <x:v>3.0</x:v>
      </x:c>
    </x:row>
    <x:row r="95" ht="31" customHeight="1">
      <x:c r="A95" s="93" t="str">
        <x:f>IF($M95="","",INDEX('전체 WBS'!$AR$9:$AV$9,1,$O95))</x:f>
        <x:v>M3 홍은서</x:v>
      </x:c>
      <x:c r="B95" s="93" t="str">
        <x:f>IF($M95="","",IF(ISNUMBER(SEARCH($A95,INDEX('전체 WBS'!$D$1:$D$90,$N95))),"주담당","협업"))</x:f>
        <x:v>협업</x:v>
      </x:c>
      <x:c r="C95" s="93" t="str">
        <x:f>IF($M95="","",INDEX('전체 WBS'!$A$1:$A$90,$N95))</x:f>
        <x:v>I37</x:v>
      </x:c>
      <x:c r="D95" s="93" t="str">
        <x:f>IF($M95="","",INDEX('전체 WBS'!$B$1:$B$90,$N95))</x:f>
        <x:v>보안·검증</x:v>
      </x:c>
      <x:c r="E95" s="93" t="str">
        <x:f>IF($M95="","",INDEX('전체 WBS'!$C$1:$C$90,$N95))</x:f>
        <x:v>S05 재공격·정상 동작 검증</x:v>
      </x:c>
      <x:c r="F95" s="94" t="str">
        <x:f>IF($M95="","",INDEX('전체 WBS'!$F$1:$F$90,$N95))</x:f>
        <x:v>46335</x:v>
      </x:c>
      <x:c r="G95" s="94" t="str">
        <x:f>IF($M95="","",INDEX('전체 WBS'!$G$1:$G$90,$N95))</x:f>
        <x:v>46336</x:v>
      </x:c>
      <x:c r="H95" s="95" t="str">
        <x:f>IF($M95="","",INDEX('전체 WBS'!$H$1:$H$90,$N95))</x:f>
        <x:v>미확인</x:v>
      </x:c>
      <x:c r="I95" s="93" t="str">
        <x:f>IF($M95="","",INDEX('전체 WBS'!$I$1:$I$90,$N95))</x:f>
        <x:v>I36.2</x:v>
      </x:c>
      <x:c r="J95" s="93" t="str">
        <x:f>IF($M95="","",INDEX('전체 WBS'!$D$1:$D$90,$N95))</x:f>
        <x:v>M5 유은혜(PM)</x:v>
      </x:c>
      <x:c r="K95" s="93" t="str">
        <x:f>IF($M95="","",INDEX('전체 WBS'!$E$1:$E$90,$N95))</x:f>
        <x:v>M1 유용수 · M3 홍은서</x:v>
      </x:c>
      <x:c r="L95" s="100" t="str">
        <x:f>IF($M95="","",HYPERLINK(INDEX('전체 WBS'!$AW$1:$AW$90,$N95),"원문"))</x:f>
        <x:v>원문</x:v>
      </x:c>
      <x:c r="M95" s="4" t="n">
        <x:f>IF(88&lt;=COUNTIFS('전체 WBS'!$AR$10:$AV$90,"&lt;1000000000"),SMALL('전체 WBS'!$AR$10:$AV$90,88),"")</x:f>
        <x:v>346335076.0</x:v>
      </x:c>
      <x:c r="N95" s="4" t="n">
        <x:f>IF($M95="","",MOD($M95,1000))</x:f>
        <x:v>76.0</x:v>
      </x:c>
      <x:c r="O95" s="4" t="n">
        <x:f>IF($M95="","",INT($M95/100000000))</x:f>
        <x:v>3.0</x:v>
      </x:c>
    </x:row>
    <x:row r="96" ht="31" customHeight="1">
      <x:c r="A96" s="93" t="str">
        <x:f>IF($M96="","",INDEX('전체 WBS'!$AR$9:$AV$9,1,$O96))</x:f>
        <x:v>M3 홍은서</x:v>
      </x:c>
      <x:c r="B96" s="93" t="str">
        <x:f>IF($M96="","",IF(ISNUMBER(SEARCH($A96,INDEX('전체 WBS'!$D$1:$D$90,$N96))),"주담당","협업"))</x:f>
        <x:v>협업</x:v>
      </x:c>
      <x:c r="C96" s="93" t="str">
        <x:f>IF($M96="","",INDEX('전체 WBS'!$A$1:$A$90,$N96))</x:f>
        <x:v>C10.5</x:v>
      </x:c>
      <x:c r="D96" s="93" t="str">
        <x:f>IF($M96="","",INDEX('전체 WBS'!$B$1:$B$90,$N96))</x:f>
        <x:v>보안·검증</x:v>
      </x:c>
      <x:c r="E96" s="93" t="str">
        <x:f>IF($M96="","",INDEX('전체 WBS'!$C$1:$C$90,$N96))</x:f>
        <x:v>DB 복제·백업·복원 재검증</x:v>
      </x:c>
      <x:c r="F96" s="94" t="str">
        <x:f>IF($M96="","",INDEX('전체 WBS'!$F$1:$F$90,$N96))</x:f>
        <x:v>46335</x:v>
      </x:c>
      <x:c r="G96" s="94" t="str">
        <x:f>IF($M96="","",INDEX('전체 WBS'!$G$1:$G$90,$N96))</x:f>
        <x:v>46336</x:v>
      </x:c>
      <x:c r="H96" s="95" t="str">
        <x:f>IF($M96="","",INDEX('전체 WBS'!$H$1:$H$90,$N96))</x:f>
        <x:v>미확인</x:v>
      </x:c>
      <x:c r="I96" s="93" t="str">
        <x:f>IF($M96="","",INDEX('전체 WBS'!$I$1:$I$90,$N96))</x:f>
        <x:v>I31.3, C10.4</x:v>
      </x:c>
      <x:c r="J96" s="93" t="str">
        <x:f>IF($M96="","",INDEX('전체 WBS'!$D$1:$D$90,$N96))</x:f>
        <x:v>M4 박진혁</x:v>
      </x:c>
      <x:c r="K96" s="93" t="str">
        <x:f>IF($M96="","",INDEX('전체 WBS'!$E$1:$E$90,$N96))</x:f>
        <x:v>M3 홍은서</x:v>
      </x:c>
      <x:c r="L96" s="100" t="str">
        <x:f>IF($M96="","",HYPERLINK(INDEX('전체 WBS'!$AW$1:$AW$90,$N96),"원문"))</x:f>
        <x:v>원문</x:v>
      </x:c>
      <x:c r="M96" s="4" t="n">
        <x:f>IF(89&lt;=COUNTIFS('전체 WBS'!$AR$10:$AV$90,"&lt;1000000000"),SMALL('전체 WBS'!$AR$10:$AV$90,89),"")</x:f>
        <x:v>346335077.0</x:v>
      </x:c>
      <x:c r="N96" s="4" t="n">
        <x:f>IF($M96="","",MOD($M96,1000))</x:f>
        <x:v>77.0</x:v>
      </x:c>
      <x:c r="O96" s="4" t="n">
        <x:f>IF($M96="","",INT($M96/100000000))</x:f>
        <x:v>3.0</x:v>
      </x:c>
    </x:row>
    <x:row r="97" ht="31" customHeight="1">
      <x:c r="A97" s="93" t="str">
        <x:f>IF($M97="","",INDEX('전체 WBS'!$AR$9:$AV$9,1,$O97))</x:f>
        <x:v>M3 홍은서</x:v>
      </x:c>
      <x:c r="B97" s="93" t="str">
        <x:f>IF($M97="","",IF(ISNUMBER(SEARCH($A97,INDEX('전체 WBS'!$D$1:$D$90,$N97))),"주담당","협업"))</x:f>
        <x:v>주담당</x:v>
      </x:c>
      <x:c r="C97" s="93" t="str">
        <x:f>IF($M97="","",INDEX('전체 WBS'!$A$1:$A$90,$N97))</x:f>
        <x:v>I28</x:v>
      </x:c>
      <x:c r="D97" s="93" t="str">
        <x:f>IF($M97="","",INDEX('전체 WBS'!$B$1:$B$90,$N97))</x:f>
        <x:v>공동·관리</x:v>
      </x:c>
      <x:c r="E97" s="93" t="str">
        <x:f>IF($M97="","",INDEX('전체 WBS'!$C$1:$C$90,$N97))</x:f>
        <x:v>M3 결과·발표자료 정리</x:v>
      </x:c>
      <x:c r="F97" s="94" t="str">
        <x:f>IF($M97="","",INDEX('전체 WBS'!$F$1:$F$90,$N97))</x:f>
        <x:v>46337</x:v>
      </x:c>
      <x:c r="G97" s="94" t="str">
        <x:f>IF($M97="","",INDEX('전체 WBS'!$G$1:$G$90,$N97))</x:f>
        <x:v>46338</x:v>
      </x:c>
      <x:c r="H97" s="95" t="str">
        <x:f>IF($M97="","",INDEX('전체 WBS'!$H$1:$H$90,$N97))</x:f>
        <x:v>미확인</x:v>
      </x:c>
      <x:c r="I97" s="93" t="str">
        <x:f>IF($M97="","",INDEX('전체 WBS'!$I$1:$I$90,$N97))</x:f>
        <x:v>I27</x:v>
      </x:c>
      <x:c r="J97" s="93" t="str">
        <x:f>IF($M97="","",INDEX('전체 WBS'!$D$1:$D$90,$N97))</x:f>
        <x:v>M3 홍은서(PL)</x:v>
      </x:c>
      <x:c r="K97" s="93" t="str">
        <x:f>IF($M97="","",INDEX('전체 WBS'!$E$1:$E$90,$N97))</x:f>
        <x:v>M5 유은혜</x:v>
      </x:c>
      <x:c r="L97" s="100" t="str">
        <x:f>IF($M97="","",HYPERLINK(INDEX('전체 WBS'!$AW$1:$AW$90,$N97),"원문"))</x:f>
        <x:v>원문</x:v>
      </x:c>
      <x:c r="M97" s="4" t="n">
        <x:f>IF(90&lt;=COUNTIFS('전체 WBS'!$AR$10:$AV$90,"&lt;1000000000"),SMALL('전체 WBS'!$AR$10:$AV$90,90),"")</x:f>
        <x:v>346337083.0</x:v>
      </x:c>
      <x:c r="N97" s="4" t="n">
        <x:f>IF($M97="","",MOD($M97,1000))</x:f>
        <x:v>83.0</x:v>
      </x:c>
      <x:c r="O97" s="4" t="n">
        <x:f>IF($M97="","",INT($M97/100000000))</x:f>
        <x:v>3.0</x:v>
      </x:c>
    </x:row>
    <x:row r="98" ht="31" customHeight="1">
      <x:c r="A98" s="93" t="str">
        <x:f>IF($M98="","",INDEX('전체 WBS'!$AR$9:$AV$9,1,$O98))</x:f>
        <x:v>M3 홍은서</x:v>
      </x:c>
      <x:c r="B98" s="93" t="str">
        <x:f>IF($M98="","",IF(ISNUMBER(SEARCH($A98,INDEX('전체 WBS'!$D$1:$D$90,$N98))),"주담당","협업"))</x:f>
        <x:v>협업</x:v>
      </x:c>
      <x:c r="C98" s="93" t="str">
        <x:f>IF($M98="","",INDEX('전체 WBS'!$A$1:$A$90,$N98))</x:f>
        <x:v>I38</x:v>
      </x:c>
      <x:c r="D98" s="93" t="str">
        <x:f>IF($M98="","",INDEX('전체 WBS'!$B$1:$B$90,$N98))</x:f>
        <x:v>공동·관리</x:v>
      </x:c>
      <x:c r="E98" s="93" t="str">
        <x:f>IF($M98="","",INDEX('전체 WBS'!$C$1:$C$90,$N98))</x:f>
        <x:v>M5 결과·발표자료 정리</x:v>
      </x:c>
      <x:c r="F98" s="94" t="str">
        <x:f>IF($M98="","",INDEX('전체 WBS'!$F$1:$F$90,$N98))</x:f>
        <x:v>46337</x:v>
      </x:c>
      <x:c r="G98" s="94" t="str">
        <x:f>IF($M98="","",INDEX('전체 WBS'!$G$1:$G$90,$N98))</x:f>
        <x:v>46338</x:v>
      </x:c>
      <x:c r="H98" s="95" t="str">
        <x:f>IF($M98="","",INDEX('전체 WBS'!$H$1:$H$90,$N98))</x:f>
        <x:v>미확인</x:v>
      </x:c>
      <x:c r="I98" s="93" t="str">
        <x:f>IF($M98="","",INDEX('전체 WBS'!$I$1:$I$90,$N98))</x:f>
        <x:v>I37</x:v>
      </x:c>
      <x:c r="J98" s="93" t="str">
        <x:f>IF($M98="","",INDEX('전체 WBS'!$D$1:$D$90,$N98))</x:f>
        <x:v>M5 유은혜(PM)</x:v>
      </x:c>
      <x:c r="K98" s="93" t="str">
        <x:f>IF($M98="","",INDEX('전체 WBS'!$E$1:$E$90,$N98))</x:f>
        <x:v>M3 홍은서</x:v>
      </x:c>
      <x:c r="L98" s="100" t="str">
        <x:f>IF($M98="","",HYPERLINK(INDEX('전체 WBS'!$AW$1:$AW$90,$N98),"원문"))</x:f>
        <x:v>원문</x:v>
      </x:c>
      <x:c r="M98" s="4" t="n">
        <x:f>IF(91&lt;=COUNTIFS('전체 WBS'!$AR$10:$AV$90,"&lt;1000000000"),SMALL('전체 WBS'!$AR$10:$AV$90,91),"")</x:f>
        <x:v>346337085.0</x:v>
      </x:c>
      <x:c r="N98" s="4" t="n">
        <x:f>IF($M98="","",MOD($M98,1000))</x:f>
        <x:v>85.0</x:v>
      </x:c>
      <x:c r="O98" s="4" t="n">
        <x:f>IF($M98="","",INT($M98/100000000))</x:f>
        <x:v>3.0</x:v>
      </x:c>
    </x:row>
    <x:row r="99" ht="31" customHeight="1">
      <x:c r="A99" s="93" t="str">
        <x:f>IF($M99="","",INDEX('전체 WBS'!$AR$9:$AV$9,1,$O99))</x:f>
        <x:v>M3 홍은서</x:v>
      </x:c>
      <x:c r="B99" s="93" t="str">
        <x:f>IF($M99="","",IF(ISNUMBER(SEARCH($A99,INDEX('전체 WBS'!$D$1:$D$90,$N99))),"주담당","협업"))</x:f>
        <x:v>협업</x:v>
      </x:c>
      <x:c r="C99" s="93" t="str">
        <x:f>IF($M99="","",INDEX('전체 WBS'!$A$1:$A$90,$N99))</x:f>
        <x:v>C13.1</x:v>
      </x:c>
      <x:c r="D99" s="93" t="str">
        <x:f>IF($M99="","",INDEX('전체 WBS'!$B$1:$B$90,$N99))</x:f>
        <x:v>공동·관리</x:v>
      </x:c>
      <x:c r="E99" s="93" t="str">
        <x:f>IF($M99="","",INDEX('전체 WBS'!$C$1:$C$90,$N99))</x:f>
        <x:v>최종 보고·발표자료 취합</x:v>
      </x:c>
      <x:c r="F99" s="94" t="str">
        <x:f>IF($M99="","",INDEX('전체 WBS'!$F$1:$F$90,$N99))</x:f>
        <x:v>46337</x:v>
      </x:c>
      <x:c r="G99" s="94" t="str">
        <x:f>IF($M99="","",INDEX('전체 WBS'!$G$1:$G$90,$N99))</x:f>
        <x:v>46338</x:v>
      </x:c>
      <x:c r="H99" s="95" t="str">
        <x:f>IF($M99="","",INDEX('전체 WBS'!$H$1:$H$90,$N99))</x:f>
        <x:v>미확인</x:v>
      </x:c>
      <x:c r="I99" s="93" t="str">
        <x:f>IF($M99="","",INDEX('전체 WBS'!$I$1:$I$90,$N99))</x:f>
        <x:v>I18, I23, I28, I33, I38</x:v>
      </x:c>
      <x:c r="J99" s="93" t="str">
        <x:f>IF($M99="","",INDEX('전체 WBS'!$D$1:$D$90,$N99))</x:f>
        <x:v>M5 유은혜(PM)</x:v>
      </x:c>
      <x:c r="K99" s="93" t="str">
        <x:f>IF($M99="","",INDEX('전체 WBS'!$E$1:$E$90,$N99))</x:f>
        <x:v>M3 홍은서</x:v>
      </x:c>
      <x:c r="L99" s="100" t="str">
        <x:f>IF($M99="","",HYPERLINK(INDEX('전체 WBS'!$AW$1:$AW$90,$N99),"원문"))</x:f>
        <x:v>원문</x:v>
      </x:c>
      <x:c r="M99" s="4" t="n">
        <x:f>IF(92&lt;=COUNTIFS('전체 WBS'!$AR$10:$AV$90,"&lt;1000000000"),SMALL('전체 WBS'!$AR$10:$AV$90,92),"")</x:f>
        <x:v>346337086.0</x:v>
      </x:c>
      <x:c r="N99" s="4" t="n">
        <x:f>IF($M99="","",MOD($M99,1000))</x:f>
        <x:v>86.0</x:v>
      </x:c>
      <x:c r="O99" s="4" t="n">
        <x:f>IF($M99="","",INT($M99/100000000))</x:f>
        <x:v>3.0</x:v>
      </x:c>
    </x:row>
    <x:row r="100" ht="31" customHeight="1">
      <x:c r="A100" s="93" t="str">
        <x:f>IF($M100="","",INDEX('전체 WBS'!$AR$9:$AV$9,1,$O100))</x:f>
        <x:v>M3 홍은서</x:v>
      </x:c>
      <x:c r="B100" s="93" t="str">
        <x:f>IF($M100="","",IF(ISNUMBER(SEARCH($A100,INDEX('전체 WBS'!$D$1:$D$90,$N100))),"주담당","협업"))</x:f>
        <x:v>협업</x:v>
      </x:c>
      <x:c r="C100" s="93" t="str">
        <x:f>IF($M100="","",INDEX('전체 WBS'!$A$1:$A$90,$N100))</x:f>
        <x:v>C13.2</x:v>
      </x:c>
      <x:c r="D100" s="93" t="str">
        <x:f>IF($M100="","",INDEX('전체 WBS'!$B$1:$B$90,$N100))</x:f>
        <x:v>공동·관리</x:v>
      </x:c>
      <x:c r="E100" s="93" t="str">
        <x:f>IF($M100="","",INDEX('전체 WBS'!$C$1:$C$90,$N100))</x:f>
        <x:v>전원 리허설·환경 복구 확인</x:v>
      </x:c>
      <x:c r="F100" s="94" t="str">
        <x:f>IF($M100="","",INDEX('전체 WBS'!$F$1:$F$90,$N100))</x:f>
        <x:v>46339</x:v>
      </x:c>
      <x:c r="G100" s="94" t="str">
        <x:f>IF($M100="","",INDEX('전체 WBS'!$G$1:$G$90,$N100))</x:f>
        <x:v>46339</x:v>
      </x:c>
      <x:c r="H100" s="95" t="str">
        <x:f>IF($M100="","",INDEX('전체 WBS'!$H$1:$H$90,$N100))</x:f>
        <x:v>미확인</x:v>
      </x:c>
      <x:c r="I100" s="93" t="str">
        <x:f>IF($M100="","",INDEX('전체 WBS'!$I$1:$I$90,$N100))</x:f>
        <x:v>C13.1</x:v>
      </x:c>
      <x:c r="J100" s="93" t="str">
        <x:f>IF($M100="","",INDEX('전체 WBS'!$D$1:$D$90,$N100))</x:f>
        <x:v>M5 유은혜(PM)</x:v>
      </x:c>
      <x:c r="K100" s="93" t="str">
        <x:f>IF($M100="","",INDEX('전체 WBS'!$E$1:$E$90,$N100))</x:f>
        <x:v>M1 유용수 · M2 윤서영
M3 홍은서 · M4 박진혁</x:v>
      </x:c>
      <x:c r="L100" s="100" t="str">
        <x:f>IF($M100="","",HYPERLINK(INDEX('전체 WBS'!$AW$1:$AW$90,$N100),"원문"))</x:f>
        <x:v>원문</x:v>
      </x:c>
      <x:c r="M100" s="4" t="n">
        <x:f>IF(93&lt;=COUNTIFS('전체 WBS'!$AR$10:$AV$90,"&lt;1000000000"),SMALL('전체 WBS'!$AR$10:$AV$90,93),"")</x:f>
        <x:v>346339087.0</x:v>
      </x:c>
      <x:c r="N100" s="4" t="n">
        <x:f>IF($M100="","",MOD($M100,1000))</x:f>
        <x:v>87.0</x:v>
      </x:c>
      <x:c r="O100" s="4" t="n">
        <x:f>IF($M100="","",INT($M100/100000000))</x:f>
        <x:v>3.0</x:v>
      </x:c>
    </x:row>
    <x:row r="101" ht="31" customHeight="1">
      <x:c r="A101" s="93" t="str">
        <x:f>IF($M101="","",INDEX('전체 WBS'!$AR$9:$AV$9,1,$O101))</x:f>
        <x:v>M3 홍은서</x:v>
      </x:c>
      <x:c r="B101" s="93" t="str">
        <x:f>IF($M101="","",IF(ISNUMBER(SEARCH($A101,INDEX('전체 WBS'!$D$1:$D$90,$N101))),"주담당","협업"))</x:f>
        <x:v>협업</x:v>
      </x:c>
      <x:c r="C101" s="93" t="str">
        <x:f>IF($M101="","",INDEX('전체 WBS'!$A$1:$A$90,$N101))</x:f>
        <x:v>C13.3</x:v>
      </x:c>
      <x:c r="D101" s="93" t="str">
        <x:f>IF($M101="","",INDEX('전체 WBS'!$B$1:$B$90,$N101))</x:f>
        <x:v>공동·관리</x:v>
      </x:c>
      <x:c r="E101" s="93" t="str">
        <x:f>IF($M101="","",INDEX('전체 WBS'!$C$1:$C$90,$N101))</x:f>
        <x:v>파일·링크·대체 시연 점검</x:v>
      </x:c>
      <x:c r="F101" s="94" t="str">
        <x:f>IF($M101="","",INDEX('전체 WBS'!$F$1:$F$90,$N101))</x:f>
        <x:v>46340</x:v>
      </x:c>
      <x:c r="G101" s="94" t="str">
        <x:f>IF($M101="","",INDEX('전체 WBS'!$G$1:$G$90,$N101))</x:f>
        <x:v>46340</x:v>
      </x:c>
      <x:c r="H101" s="95" t="str">
        <x:f>IF($M101="","",INDEX('전체 WBS'!$H$1:$H$90,$N101))</x:f>
        <x:v>미확인</x:v>
      </x:c>
      <x:c r="I101" s="93" t="str">
        <x:f>IF($M101="","",INDEX('전체 WBS'!$I$1:$I$90,$N101))</x:f>
        <x:v>C13.2</x:v>
      </x:c>
      <x:c r="J101" s="93" t="str">
        <x:f>IF($M101="","",INDEX('전체 WBS'!$D$1:$D$90,$N101))</x:f>
        <x:v>M5 유은혜(PM)</x:v>
      </x:c>
      <x:c r="K101" s="93" t="str">
        <x:f>IF($M101="","",INDEX('전체 WBS'!$E$1:$E$90,$N101))</x:f>
        <x:v>M3 홍은서</x:v>
      </x:c>
      <x:c r="L101" s="100" t="str">
        <x:f>IF($M101="","",HYPERLINK(INDEX('전체 WBS'!$AW$1:$AW$90,$N101),"원문"))</x:f>
        <x:v>원문</x:v>
      </x:c>
      <x:c r="M101" s="4" t="n">
        <x:f>IF(94&lt;=COUNTIFS('전체 WBS'!$AR$10:$AV$90,"&lt;1000000000"),SMALL('전체 WBS'!$AR$10:$AV$90,94),"")</x:f>
        <x:v>346340088.0</x:v>
      </x:c>
      <x:c r="N101" s="4" t="n">
        <x:f>IF($M101="","",MOD($M101,1000))</x:f>
        <x:v>88.0</x:v>
      </x:c>
      <x:c r="O101" s="4" t="n">
        <x:f>IF($M101="","",INT($M101/100000000))</x:f>
        <x:v>3.0</x:v>
      </x:c>
    </x:row>
    <x:row r="102" ht="31" customHeight="1">
      <x:c r="A102" s="93" t="str">
        <x:f>IF($M102="","",INDEX('전체 WBS'!$AR$9:$AV$9,1,$O102))</x:f>
        <x:v>M3 홍은서</x:v>
      </x:c>
      <x:c r="B102" s="93" t="str">
        <x:f>IF($M102="","",IF(ISNUMBER(SEARCH($A102,INDEX('전체 WBS'!$D$1:$D$90,$N102))),"주담당","협업"))</x:f>
        <x:v>협업</x:v>
      </x:c>
      <x:c r="C102" s="93" t="str">
        <x:f>IF($M102="","",INDEX('전체 WBS'!$A$1:$A$90,$N102))</x:f>
        <x:v>C13.4</x:v>
      </x:c>
      <x:c r="D102" s="93" t="str">
        <x:f>IF($M102="","",INDEX('전체 WBS'!$B$1:$B$90,$N102))</x:f>
        <x:v>공동·관리</x:v>
      </x:c>
      <x:c r="E102" s="93" t="str">
        <x:f>IF($M102="","",INDEX('전체 WBS'!$C$1:$C$90,$N102))</x:f>
        <x:v>최종 발표·실습 자원 정리</x:v>
      </x:c>
      <x:c r="F102" s="94" t="str">
        <x:f>IF($M102="","",INDEX('전체 WBS'!$F$1:$F$90,$N102))</x:f>
        <x:v>46342</x:v>
      </x:c>
      <x:c r="G102" s="94" t="str">
        <x:f>IF($M102="","",INDEX('전체 WBS'!$G$1:$G$90,$N102))</x:f>
        <x:v>46342</x:v>
      </x:c>
      <x:c r="H102" s="95" t="str">
        <x:f>IF($M102="","",INDEX('전체 WBS'!$H$1:$H$90,$N102))</x:f>
        <x:v>미확인</x:v>
      </x:c>
      <x:c r="I102" s="93" t="str">
        <x:f>IF($M102="","",INDEX('전체 WBS'!$I$1:$I$90,$N102))</x:f>
        <x:v>C13.3</x:v>
      </x:c>
      <x:c r="J102" s="93" t="str">
        <x:f>IF($M102="","",INDEX('전체 WBS'!$D$1:$D$90,$N102))</x:f>
        <x:v>M5 유은혜(PM)</x:v>
      </x:c>
      <x:c r="K102" s="93" t="str">
        <x:f>IF($M102="","",INDEX('전체 WBS'!$E$1:$E$90,$N102))</x:f>
        <x:v>M1 유용수 · M2 윤서영
M3 홍은서 · M4 박진혁</x:v>
      </x:c>
      <x:c r="L102" s="100" t="str">
        <x:f>IF($M102="","",HYPERLINK(INDEX('전체 WBS'!$AW$1:$AW$90,$N102),"원문"))</x:f>
        <x:v>원문</x:v>
      </x:c>
      <x:c r="M102" s="4" t="n">
        <x:f>IF(95&lt;=COUNTIFS('전체 WBS'!$AR$10:$AV$90,"&lt;1000000000"),SMALL('전체 WBS'!$AR$10:$AV$90,95),"")</x:f>
        <x:v>346342089.0</x:v>
      </x:c>
      <x:c r="N102" s="4" t="n">
        <x:f>IF($M102="","",MOD($M102,1000))</x:f>
        <x:v>89.0</x:v>
      </x:c>
      <x:c r="O102" s="4" t="n">
        <x:f>IF($M102="","",INT($M102/100000000))</x:f>
        <x:v>3.0</x:v>
      </x:c>
    </x:row>
    <x:row r="103" ht="31" customHeight="1">
      <x:c r="A103" s="93" t="str">
        <x:f>IF($M103="","",INDEX('전체 WBS'!$AR$9:$AV$9,1,$O103))</x:f>
        <x:v>M4 박진혁</x:v>
      </x:c>
      <x:c r="B103" s="93" t="str">
        <x:f>IF($M103="","",IF(ISNUMBER(SEARCH($A103,INDEX('전체 WBS'!$D$1:$D$90,$N103))),"주담당","협업"))</x:f>
        <x:v>주담당</x:v>
      </x:c>
      <x:c r="C103" s="93" t="str">
        <x:f>IF($M103="","",INDEX('전체 WBS'!$A$1:$A$90,$N103))</x:f>
        <x:v>I04</x:v>
      </x:c>
      <x:c r="D103" s="93" t="str">
        <x:f>IF($M103="","",INDEX('전체 WBS'!$B$1:$B$90,$N103))</x:f>
        <x:v>인프라</x:v>
      </x:c>
      <x:c r="E103" s="93" t="str">
        <x:f>IF($M103="","",INDEX('전체 WBS'!$C$1:$C$90,$N103))</x:f>
        <x:v>백업·DR망 AS-IS 토폴로지 작성</x:v>
      </x:c>
      <x:c r="F103" s="94" t="str">
        <x:f>IF($M103="","",INDEX('전체 WBS'!$F$1:$F$90,$N103))</x:f>
        <x:v>46315</x:v>
      </x:c>
      <x:c r="G103" s="94" t="str">
        <x:f>IF($M103="","",INDEX('전체 WBS'!$G$1:$G$90,$N103))</x:f>
        <x:v>46316</x:v>
      </x:c>
      <x:c r="H103" s="95" t="str">
        <x:f>IF($M103="","",INDEX('전체 WBS'!$H$1:$H$90,$N103))</x:f>
        <x:v>완료</x:v>
      </x:c>
      <x:c r="I103" s="93" t="str">
        <x:f>IF($M103="","",INDEX('전체 WBS'!$I$1:$I$90,$N103))</x:f>
        <x:v>—</x:v>
      </x:c>
      <x:c r="J103" s="93" t="str">
        <x:f>IF($M103="","",INDEX('전체 WBS'!$D$1:$D$90,$N103))</x:f>
        <x:v>M4 박진혁</x:v>
      </x:c>
      <x:c r="K103" s="93" t="str">
        <x:f>IF($M103="","",INDEX('전체 WBS'!$E$1:$E$90,$N103))</x:f>
        <x:v>M3 홍은서</x:v>
      </x:c>
      <x:c r="L103" s="100" t="str">
        <x:f>IF($M103="","",HYPERLINK(INDEX('전체 WBS'!$AW$1:$AW$90,$N103),"원문"))</x:f>
        <x:v>원문</x:v>
      </x:c>
      <x:c r="M103" s="4" t="n">
        <x:f>IF(96&lt;=COUNTIFS('전체 WBS'!$AR$10:$AV$90,"&lt;1000000000"),SMALL('전체 WBS'!$AR$10:$AV$90,96),"")</x:f>
        <x:v>446315014.0</x:v>
      </x:c>
      <x:c r="N103" s="4" t="n">
        <x:f>IF($M103="","",MOD($M103,1000))</x:f>
        <x:v>14.0</x:v>
      </x:c>
      <x:c r="O103" s="4" t="n">
        <x:f>IF($M103="","",INT($M103/100000000))</x:f>
        <x:v>4.0</x:v>
      </x:c>
    </x:row>
    <x:row r="104" ht="31" customHeight="1">
      <x:c r="A104" s="93" t="str">
        <x:f>IF($M104="","",INDEX('전체 WBS'!$AR$9:$AV$9,1,$O104))</x:f>
        <x:v>M4 박진혁</x:v>
      </x:c>
      <x:c r="B104" s="93" t="str">
        <x:f>IF($M104="","",IF(ISNUMBER(SEARCH($A104,INDEX('전체 WBS'!$D$1:$D$90,$N104))),"주담당","협업"))</x:f>
        <x:v>협업</x:v>
      </x:c>
      <x:c r="C104" s="93" t="str">
        <x:f>IF($M104="","",INDEX('전체 WBS'!$A$1:$A$90,$N104))</x:f>
        <x:v>C6.1</x:v>
      </x:c>
      <x:c r="D104" s="93" t="str">
        <x:f>IF($M104="","",INDEX('전체 WBS'!$B$1:$B$90,$N104))</x:f>
        <x:v>공동·관리</x:v>
      </x:c>
      <x:c r="E104" s="93" t="str">
        <x:f>IF($M104="","",INDEX('전체 WBS'!$C$1:$C$90,$N104))</x:f>
        <x:v>IP·구축 환경 기술 검토·계획서 개정</x:v>
      </x:c>
      <x:c r="F104" s="94" t="str">
        <x:f>IF($M104="","",INDEX('전체 WBS'!$F$1:$F$90,$N104))</x:f>
        <x:v>46316</x:v>
      </x:c>
      <x:c r="G104" s="94" t="str">
        <x:f>IF($M104="","",INDEX('전체 WBS'!$G$1:$G$90,$N104))</x:f>
        <x:v>46318</x:v>
      </x:c>
      <x:c r="H104" s="95" t="str">
        <x:f>IF($M104="","",INDEX('전체 WBS'!$H$1:$H$90,$N104))</x:f>
        <x:v>진행 중</x:v>
      </x:c>
      <x:c r="I104" s="93" t="str">
        <x:f>IF($M104="","",INDEX('전체 WBS'!$I$1:$I$90,$N104))</x:f>
        <x:v>I01, I02, I03, I04, I05</x:v>
      </x:c>
      <x:c r="J104" s="93" t="str">
        <x:f>IF($M104="","",INDEX('전체 WBS'!$D$1:$D$90,$N104))</x:f>
        <x:v>M5 유은혜(PM)</x:v>
      </x:c>
      <x:c r="K104" s="93" t="str">
        <x:f>IF($M104="","",INDEX('전체 WBS'!$E$1:$E$90,$N104))</x:f>
        <x:v>M3 홍은서 · M1 유용수
M2 윤서영 · M4 박진혁</x:v>
      </x:c>
      <x:c r="L104" s="100" t="str">
        <x:f>IF($M104="","",HYPERLINK(INDEX('전체 WBS'!$AW$1:$AW$90,$N104),"원문"))</x:f>
        <x:v>원문</x:v>
      </x:c>
      <x:c r="M104" s="4" t="n">
        <x:f>IF(97&lt;=COUNTIFS('전체 WBS'!$AR$10:$AV$90,"&lt;1000000000"),SMALL('전체 WBS'!$AR$10:$AV$90,97),"")</x:f>
        <x:v>446316016.0</x:v>
      </x:c>
      <x:c r="N104" s="4" t="n">
        <x:f>IF($M104="","",MOD($M104,1000))</x:f>
        <x:v>16.0</x:v>
      </x:c>
      <x:c r="O104" s="4" t="n">
        <x:f>IF($M104="","",INT($M104/100000000))</x:f>
        <x:v>4.0</x:v>
      </x:c>
    </x:row>
    <x:row r="105" ht="31" customHeight="1">
      <x:c r="A105" s="93" t="str">
        <x:f>IF($M105="","",INDEX('전체 WBS'!$AR$9:$AV$9,1,$O105))</x:f>
        <x:v>M4 박진혁</x:v>
      </x:c>
      <x:c r="B105" s="93" t="str">
        <x:f>IF($M105="","",IF(ISNUMBER(SEARCH($A105,INDEX('전체 WBS'!$D$1:$D$90,$N105))),"주담당","협업"))</x:f>
        <x:v>주담당</x:v>
      </x:c>
      <x:c r="C105" s="93" t="str">
        <x:f>IF($M105="","",INDEX('전체 WBS'!$A$1:$A$90,$N105))</x:f>
        <x:v>I29</x:v>
      </x:c>
      <x:c r="D105" s="93" t="str">
        <x:f>IF($M105="","",INDEX('전체 WBS'!$B$1:$B$90,$N105))</x:f>
        <x:v>인프라</x:v>
      </x:c>
      <x:c r="E105" s="93" t="str">
        <x:f>IF($M105="","",INDEX('전체 WBS'!$C$1:$C$90,$N105))</x:f>
        <x:v>백업망 구축·테스트 파일 준비</x:v>
      </x:c>
      <x:c r="F105" s="94" t="str">
        <x:f>IF($M105="","",INDEX('전체 WBS'!$F$1:$F$90,$N105))</x:f>
        <x:v>46316</x:v>
      </x:c>
      <x:c r="G105" s="94" t="str">
        <x:f>IF($M105="","",INDEX('전체 WBS'!$G$1:$G$90,$N105))</x:f>
        <x:v>46323</x:v>
      </x:c>
      <x:c r="H105" s="95" t="str">
        <x:f>IF($M105="","",INDEX('전체 WBS'!$H$1:$H$90,$N105))</x:f>
        <x:v>진행 중</x:v>
      </x:c>
      <x:c r="I105" s="93" t="str">
        <x:f>IF($M105="","",INDEX('전체 WBS'!$I$1:$I$90,$N105))</x:f>
        <x:v>I04, C6.1</x:v>
      </x:c>
      <x:c r="J105" s="93" t="str">
        <x:f>IF($M105="","",INDEX('전체 WBS'!$D$1:$D$90,$N105))</x:f>
        <x:v>M4 박진혁</x:v>
      </x:c>
      <x:c r="K105" s="93" t="str">
        <x:f>IF($M105="","",INDEX('전체 WBS'!$E$1:$E$90,$N105))</x:f>
        <x:v>—</x:v>
      </x:c>
      <x:c r="L105" s="100" t="str">
        <x:f>IF($M105="","",HYPERLINK(INDEX('전체 WBS'!$AW$1:$AW$90,$N105),"원문"))</x:f>
        <x:v>원문</x:v>
      </x:c>
      <x:c r="M105" s="4" t="n">
        <x:f>IF(98&lt;=COUNTIFS('전체 WBS'!$AR$10:$AV$90,"&lt;1000000000"),SMALL('전체 WBS'!$AR$10:$AV$90,98),"")</x:f>
        <x:v>446316021.0</x:v>
      </x:c>
      <x:c r="N105" s="4" t="n">
        <x:f>IF($M105="","",MOD($M105,1000))</x:f>
        <x:v>21.0</x:v>
      </x:c>
      <x:c r="O105" s="4" t="n">
        <x:f>IF($M105="","",INT($M105/100000000))</x:f>
        <x:v>4.0</x:v>
      </x:c>
    </x:row>
    <x:row r="106" ht="31" customHeight="1">
      <x:c r="A106" s="93" t="str">
        <x:f>IF($M106="","",INDEX('전체 WBS'!$AR$9:$AV$9,1,$O106))</x:f>
        <x:v>M4 박진혁</x:v>
      </x:c>
      <x:c r="B106" s="93" t="str">
        <x:f>IF($M106="","",IF(ISNUMBER(SEARCH($A106,INDEX('전체 WBS'!$D$1:$D$90,$N106))),"주담당","협업"))</x:f>
        <x:v>협업</x:v>
      </x:c>
      <x:c r="C106" s="93" t="str">
        <x:f>IF($M106="","",INDEX('전체 WBS'!$A$1:$A$90,$N106))</x:f>
        <x:v>C12.1</x:v>
      </x:c>
      <x:c r="D106" s="93" t="str">
        <x:f>IF($M106="","",INDEX('전체 WBS'!$B$1:$B$90,$N106))</x:f>
        <x:v>공동·관리</x:v>
      </x:c>
      <x:c r="E106" s="93" t="str">
        <x:f>IF($M106="","",INDEX('전체 WBS'!$C$1:$C$90,$N106))</x:f>
        <x:v>AWS 권한·예산·API 연결 검토</x:v>
      </x:c>
      <x:c r="F106" s="94" t="str">
        <x:f>IF($M106="","",INDEX('전체 WBS'!$F$1:$F$90,$N106))</x:f>
        <x:v>46316</x:v>
      </x:c>
      <x:c r="G106" s="94" t="str">
        <x:f>IF($M106="","",INDEX('전체 WBS'!$G$1:$G$90,$N106))</x:f>
        <x:v>46318</x:v>
      </x:c>
      <x:c r="H106" s="95" t="str">
        <x:f>IF($M106="","",INDEX('전체 WBS'!$H$1:$H$90,$N106))</x:f>
        <x:v>미확인</x:v>
      </x:c>
      <x:c r="I106" s="93" t="str">
        <x:f>IF($M106="","",INDEX('전체 WBS'!$I$1:$I$90,$N106))</x:f>
        <x:v>C6.1</x:v>
      </x:c>
      <x:c r="J106" s="93" t="str">
        <x:f>IF($M106="","",INDEX('전체 WBS'!$D$1:$D$90,$N106))</x:f>
        <x:v>M5 유은혜(PM)</x:v>
      </x:c>
      <x:c r="K106" s="93" t="str">
        <x:f>IF($M106="","",INDEX('전체 WBS'!$E$1:$E$90,$N106))</x:f>
        <x:v>M1 유용수 · M3 홍은서
M4 박진혁</x:v>
      </x:c>
      <x:c r="L106" s="100" t="str">
        <x:f>IF($M106="","",HYPERLINK(INDEX('전체 WBS'!$AW$1:$AW$90,$N106),"원문"))</x:f>
        <x:v>원문</x:v>
      </x:c>
      <x:c r="M106" s="4" t="n">
        <x:f>IF(99&lt;=COUNTIFS('전체 WBS'!$AR$10:$AV$90,"&lt;1000000000"),SMALL('전체 WBS'!$AR$10:$AV$90,99),"")</x:f>
        <x:v>446316026.0</x:v>
      </x:c>
      <x:c r="N106" s="4" t="n">
        <x:f>IF($M106="","",MOD($M106,1000))</x:f>
        <x:v>26.0</x:v>
      </x:c>
      <x:c r="O106" s="4" t="n">
        <x:f>IF($M106="","",INT($M106/100000000))</x:f>
        <x:v>4.0</x:v>
      </x:c>
    </x:row>
    <x:row r="107" ht="31" customHeight="1">
      <x:c r="A107" s="93" t="str">
        <x:f>IF($M107="","",INDEX('전체 WBS'!$AR$9:$AV$9,1,$O107))</x:f>
        <x:v>M4 박진혁</x:v>
      </x:c>
      <x:c r="B107" s="93" t="str">
        <x:f>IF($M107="","",IF(ISNUMBER(SEARCH($A107,INDEX('전체 WBS'!$D$1:$D$90,$N107))),"주담당","협업"))</x:f>
        <x:v>협업</x:v>
      </x:c>
      <x:c r="C107" s="93" t="str">
        <x:f>IF($M107="","",INDEX('전체 WBS'!$A$1:$A$90,$N107))</x:f>
        <x:v>C7</x:v>
      </x:c>
      <x:c r="D107" s="93" t="str">
        <x:f>IF($M107="","",INDEX('전체 WBS'!$B$1:$B$90,$N107))</x:f>
        <x:v>인프라</x:v>
      </x:c>
      <x:c r="E107" s="93" t="str">
        <x:f>IF($M107="","",INDEX('전체 WBS'!$C$1:$C$90,$N107))</x:f>
        <x:v>망 간 라우팅·VPN 구성 및 검증</x:v>
      </x:c>
      <x:c r="F107" s="94" t="str">
        <x:f>IF($M107="","",INDEX('전체 WBS'!$F$1:$F$90,$N107))</x:f>
        <x:v>46317</x:v>
      </x:c>
      <x:c r="G107" s="94" t="str">
        <x:f>IF($M107="","",INDEX('전체 WBS'!$G$1:$G$90,$N107))</x:f>
        <x:v>46323</x:v>
      </x:c>
      <x:c r="H107" s="95" t="str">
        <x:f>IF($M107="","",INDEX('전체 WBS'!$H$1:$H$90,$N107))</x:f>
        <x:v>미확인</x:v>
      </x:c>
      <x:c r="I107" s="93" t="str">
        <x:f>IF($M107="","",INDEX('전체 WBS'!$I$1:$I$90,$N107))</x:f>
        <x:v>C6.1, I14, I19, I24, I29, I34</x:v>
      </x:c>
      <x:c r="J107" s="93" t="str">
        <x:f>IF($M107="","",INDEX('전체 WBS'!$D$1:$D$90,$N107))</x:f>
        <x:v>M1 유용수</x:v>
      </x:c>
      <x:c r="K107" s="93" t="str">
        <x:f>IF($M107="","",INDEX('전체 WBS'!$E$1:$E$90,$N107))</x:f>
        <x:v>M2 윤서영 · M3 홍은서
M4 박진혁 · M5 유은혜</x:v>
      </x:c>
      <x:c r="L107" s="100" t="str">
        <x:f>IF($M107="","",HYPERLINK(INDEX('전체 WBS'!$AW$1:$AW$90,$N107),"원문"))</x:f>
        <x:v>원문</x:v>
      </x:c>
      <x:c r="M107" s="4" t="n">
        <x:f>IF(100&lt;=COUNTIFS('전체 WBS'!$AR$10:$AV$90,"&lt;1000000000"),SMALL('전체 WBS'!$AR$10:$AV$90,100),"")</x:f>
        <x:v>446317023.0</x:v>
      </x:c>
      <x:c r="N107" s="4" t="n">
        <x:f>IF($M107="","",MOD($M107,1000))</x:f>
        <x:v>23.0</x:v>
      </x:c>
      <x:c r="O107" s="4" t="n">
        <x:f>IF($M107="","",INT($M107/100000000))</x:f>
        <x:v>4.0</x:v>
      </x:c>
    </x:row>
    <x:row r="108" ht="31" customHeight="1">
      <x:c r="A108" s="93" t="str">
        <x:f>IF($M108="","",INDEX('전체 WBS'!$AR$9:$AV$9,1,$O108))</x:f>
        <x:v>M4 박진혁</x:v>
      </x:c>
      <x:c r="B108" s="93" t="str">
        <x:f>IF($M108="","",IF(ISNUMBER(SEARCH($A108,INDEX('전체 WBS'!$D$1:$D$90,$N108))),"주담당","협업"))</x:f>
        <x:v>주담당</x:v>
      </x:c>
      <x:c r="C108" s="93" t="str">
        <x:f>IF($M108="","",INDEX('전체 WBS'!$A$1:$A$90,$N108))</x:f>
        <x:v>C10.1</x:v>
      </x:c>
      <x:c r="D108" s="93" t="str">
        <x:f>IF($M108="","",INDEX('전체 WBS'!$B$1:$B$90,$N108))</x:f>
        <x:v>공동·관리</x:v>
      </x:c>
      <x:c r="E108" s="93" t="str">
        <x:f>IF($M108="","",INDEX('전체 WBS'!$C$1:$C$90,$N108))</x:f>
        <x:v>DB 구성·복구 목표 협의</x:v>
      </x:c>
      <x:c r="F108" s="94" t="str">
        <x:f>IF($M108="","",INDEX('전체 WBS'!$F$1:$F$90,$N108))</x:f>
        <x:v>46318</x:v>
      </x:c>
      <x:c r="G108" s="94" t="str">
        <x:f>IF($M108="","",INDEX('전체 WBS'!$G$1:$G$90,$N108))</x:f>
        <x:v>46318</x:v>
      </x:c>
      <x:c r="H108" s="95" t="str">
        <x:f>IF($M108="","",INDEX('전체 WBS'!$H$1:$H$90,$N108))</x:f>
        <x:v>미확인</x:v>
      </x:c>
      <x:c r="I108" s="93" t="str">
        <x:f>IF($M108="","",INDEX('전체 WBS'!$I$1:$I$90,$N108))</x:f>
        <x:v>C6.1</x:v>
      </x:c>
      <x:c r="J108" s="93" t="str">
        <x:f>IF($M108="","",INDEX('전체 WBS'!$D$1:$D$90,$N108))</x:f>
        <x:v>M4 박진혁</x:v>
      </x:c>
      <x:c r="K108" s="93" t="str">
        <x:f>IF($M108="","",INDEX('전체 WBS'!$E$1:$E$90,$N108))</x:f>
        <x:v>M3 홍은서</x:v>
      </x:c>
      <x:c r="L108" s="100" t="str">
        <x:f>IF($M108="","",HYPERLINK(INDEX('전체 WBS'!$AW$1:$AW$90,$N108),"원문"))</x:f>
        <x:v>원문</x:v>
      </x:c>
      <x:c r="M108" s="4" t="n">
        <x:f>IF(101&lt;=COUNTIFS('전체 WBS'!$AR$10:$AV$90,"&lt;1000000000"),SMALL('전체 WBS'!$AR$10:$AV$90,101),"")</x:f>
        <x:v>446318024.0</x:v>
      </x:c>
      <x:c r="N108" s="4" t="n">
        <x:f>IF($M108="","",MOD($M108,1000))</x:f>
        <x:v>24.0</x:v>
      </x:c>
      <x:c r="O108" s="4" t="n">
        <x:f>IF($M108="","",INT($M108/100000000))</x:f>
        <x:v>4.0</x:v>
      </x:c>
    </x:row>
    <x:row r="109" ht="31" customHeight="1">
      <x:c r="A109" s="93" t="str">
        <x:f>IF($M109="","",INDEX('전체 WBS'!$AR$9:$AV$9,1,$O109))</x:f>
        <x:v>M4 박진혁</x:v>
      </x:c>
      <x:c r="B109" s="93" t="str">
        <x:f>IF($M109="","",IF(ISNUMBER(SEARCH($A109,INDEX('전체 WBS'!$D$1:$D$90,$N109))),"주담당","협업"))</x:f>
        <x:v>주담당</x:v>
      </x:c>
      <x:c r="C109" s="93" t="str">
        <x:f>IF($M109="","",INDEX('전체 WBS'!$A$1:$A$90,$N109))</x:f>
        <x:v>C10.2</x:v>
      </x:c>
      <x:c r="D109" s="93" t="str">
        <x:f>IF($M109="","",INDEX('전체 WBS'!$B$1:$B$90,$N109))</x:f>
        <x:v>인프라</x:v>
      </x:c>
      <x:c r="E109" s="93" t="str">
        <x:f>IF($M109="","",INDEX('전체 WBS'!$C$1:$C$90,$N109))</x:f>
        <x:v>복제 DB·격리 복원 환경 준비</x:v>
      </x:c>
      <x:c r="F109" s="94" t="str">
        <x:f>IF($M109="","",INDEX('전체 WBS'!$F$1:$F$90,$N109))</x:f>
        <x:v>46321</x:v>
      </x:c>
      <x:c r="G109" s="94" t="str">
        <x:f>IF($M109="","",INDEX('전체 WBS'!$G$1:$G$90,$N109))</x:f>
        <x:v>46325</x:v>
      </x:c>
      <x:c r="H109" s="95" t="str">
        <x:f>IF($M109="","",INDEX('전체 WBS'!$H$1:$H$90,$N109))</x:f>
        <x:v>미확인</x:v>
      </x:c>
      <x:c r="I109" s="93" t="str">
        <x:f>IF($M109="","",INDEX('전체 WBS'!$I$1:$I$90,$N109))</x:f>
        <x:v>C10.1, I24, I29</x:v>
      </x:c>
      <x:c r="J109" s="93" t="str">
        <x:f>IF($M109="","",INDEX('전체 WBS'!$D$1:$D$90,$N109))</x:f>
        <x:v>M4 박진혁</x:v>
      </x:c>
      <x:c r="K109" s="93" t="str">
        <x:f>IF($M109="","",INDEX('전체 WBS'!$E$1:$E$90,$N109))</x:f>
        <x:v>M3 홍은서</x:v>
      </x:c>
      <x:c r="L109" s="100" t="str">
        <x:f>IF($M109="","",HYPERLINK(INDEX('전체 WBS'!$AW$1:$AW$90,$N109),"원문"))</x:f>
        <x:v>원문</x:v>
      </x:c>
      <x:c r="M109" s="4" t="n">
        <x:f>IF(102&lt;=COUNTIFS('전체 WBS'!$AR$10:$AV$90,"&lt;1000000000"),SMALL('전체 WBS'!$AR$10:$AV$90,102),"")</x:f>
        <x:v>446321025.0</x:v>
      </x:c>
      <x:c r="N109" s="4" t="n">
        <x:f>IF($M109="","",MOD($M109,1000))</x:f>
        <x:v>25.0</x:v>
      </x:c>
      <x:c r="O109" s="4" t="n">
        <x:f>IF($M109="","",INT($M109/100000000))</x:f>
        <x:v>4.0</x:v>
      </x:c>
    </x:row>
    <x:row r="110" ht="31" customHeight="1">
      <x:c r="A110" s="93" t="str">
        <x:f>IF($M110="","",INDEX('전체 WBS'!$AR$9:$AV$9,1,$O110))</x:f>
        <x:v>M4 박진혁</x:v>
      </x:c>
      <x:c r="B110" s="93" t="str">
        <x:f>IF($M110="","",IF(ISNUMBER(SEARCH($A110,INDEX('전체 WBS'!$D$1:$D$90,$N110))),"주담당","협업"))</x:f>
        <x:v>협업</x:v>
      </x:c>
      <x:c r="C110" s="93" t="str">
        <x:f>IF($M110="","",INDEX('전체 WBS'!$A$1:$A$90,$N110))</x:f>
        <x:v>C6.2</x:v>
      </x:c>
      <x:c r="D110" s="93" t="str">
        <x:f>IF($M110="","",INDEX('전체 WBS'!$B$1:$B$90,$N110))</x:f>
        <x:v>공동·관리</x:v>
      </x:c>
      <x:c r="E110" s="93" t="str">
        <x:f>IF($M110="","",INDEX('전체 WBS'!$C$1:$C$90,$N110))</x:f>
        <x:v>집중 업무 공수·배포 인계 점검</x:v>
      </x:c>
      <x:c r="F110" s="94" t="str">
        <x:f>IF($M110="","",INDEX('전체 WBS'!$F$1:$F$90,$N110))</x:f>
        <x:v>46323</x:v>
      </x:c>
      <x:c r="G110" s="94" t="str">
        <x:f>IF($M110="","",INDEX('전체 WBS'!$G$1:$G$90,$N110))</x:f>
        <x:v>46325</x:v>
      </x:c>
      <x:c r="H110" s="95" t="str">
        <x:f>IF($M110="","",INDEX('전체 WBS'!$H$1:$H$90,$N110))</x:f>
        <x:v>미확인</x:v>
      </x:c>
      <x:c r="I110" s="93" t="str">
        <x:f>IF($M110="","",INDEX('전체 WBS'!$I$1:$I$90,$N110))</x:f>
        <x:v>D1, I24, C12.2</x:v>
      </x:c>
      <x:c r="J110" s="93" t="str">
        <x:f>IF($M110="","",INDEX('전체 WBS'!$D$1:$D$90,$N110))</x:f>
        <x:v>M5 유은혜(PM)</x:v>
      </x:c>
      <x:c r="K110" s="93" t="str">
        <x:f>IF($M110="","",INDEX('전체 WBS'!$E$1:$E$90,$N110))</x:f>
        <x:v>M3 홍은서 · M4 박진혁</x:v>
      </x:c>
      <x:c r="L110" s="100" t="str">
        <x:f>IF($M110="","",HYPERLINK(INDEX('전체 WBS'!$AW$1:$AW$90,$N110),"원문"))</x:f>
        <x:v>원문</x:v>
      </x:c>
      <x:c r="M110" s="4" t="n">
        <x:f>IF(103&lt;=COUNTIFS('전체 WBS'!$AR$10:$AV$90,"&lt;1000000000"),SMALL('전체 WBS'!$AR$10:$AV$90,103),"")</x:f>
        <x:v>446323028.0</x:v>
      </x:c>
      <x:c r="N110" s="4" t="n">
        <x:f>IF($M110="","",MOD($M110,1000))</x:f>
        <x:v>28.0</x:v>
      </x:c>
      <x:c r="O110" s="4" t="n">
        <x:f>IF($M110="","",INT($M110/100000000))</x:f>
        <x:v>4.0</x:v>
      </x:c>
    </x:row>
    <x:row r="111" ht="31" customHeight="1">
      <x:c r="A111" s="93" t="str">
        <x:f>IF($M111="","",INDEX('전체 WBS'!$AR$9:$AV$9,1,$O111))</x:f>
        <x:v>M4 박진혁</x:v>
      </x:c>
      <x:c r="B111" s="93" t="str">
        <x:f>IF($M111="","",IF(ISNUMBER(SEARCH($A111,INDEX('전체 WBS'!$D$1:$D$90,$N111))),"주담당","협업"))</x:f>
        <x:v>주담당</x:v>
      </x:c>
      <x:c r="C111" s="93" t="str">
        <x:f>IF($M111="","",INDEX('전체 WBS'!$A$1:$A$90,$N111))</x:f>
        <x:v>I30</x:v>
      </x:c>
      <x:c r="D111" s="93" t="str">
        <x:f>IF($M111="","",INDEX('전체 WBS'!$B$1:$B$90,$N111))</x:f>
        <x:v>보안·검증</x:v>
      </x:c>
      <x:c r="E111" s="93" t="str">
        <x:f>IF($M111="","",INDEX('전체 WBS'!$C$1:$C$90,$N111))</x:f>
        <x:v>S04 공격 재현·원인 분석</x:v>
      </x:c>
      <x:c r="F111" s="94" t="str">
        <x:f>IF($M111="","",INDEX('전체 WBS'!$F$1:$F$90,$N111))</x:f>
        <x:v>46324</x:v>
      </x:c>
      <x:c r="G111" s="94" t="str">
        <x:f>IF($M111="","",INDEX('전체 WBS'!$G$1:$G$90,$N111))</x:f>
        <x:v>46325</x:v>
      </x:c>
      <x:c r="H111" s="95" t="str">
        <x:f>IF($M111="","",INDEX('전체 WBS'!$H$1:$H$90,$N111))</x:f>
        <x:v>미확인</x:v>
      </x:c>
      <x:c r="I111" s="93" t="str">
        <x:f>IF($M111="","",INDEX('전체 WBS'!$I$1:$I$90,$N111))</x:f>
        <x:v>I29</x:v>
      </x:c>
      <x:c r="J111" s="93" t="str">
        <x:f>IF($M111="","",INDEX('전체 WBS'!$D$1:$D$90,$N111))</x:f>
        <x:v>M4 박진혁</x:v>
      </x:c>
      <x:c r="K111" s="93" t="str">
        <x:f>IF($M111="","",INDEX('전체 WBS'!$E$1:$E$90,$N111))</x:f>
        <x:v>—</x:v>
      </x:c>
      <x:c r="L111" s="100" t="str">
        <x:f>IF($M111="","",HYPERLINK(INDEX('전체 WBS'!$AW$1:$AW$90,$N111),"원문"))</x:f>
        <x:v>원문</x:v>
      </x:c>
      <x:c r="M111" s="4" t="n">
        <x:f>IF(104&lt;=COUNTIFS('전체 WBS'!$AR$10:$AV$90,"&lt;1000000000"),SMALL('전체 WBS'!$AR$10:$AV$90,104),"")</x:f>
        <x:v>446324049.0</x:v>
      </x:c>
      <x:c r="N111" s="4" t="n">
        <x:f>IF($M111="","",MOD($M111,1000))</x:f>
        <x:v>49.0</x:v>
      </x:c>
      <x:c r="O111" s="4" t="n">
        <x:f>IF($M111="","",INT($M111/100000000))</x:f>
        <x:v>4.0</x:v>
      </x:c>
    </x:row>
    <x:row r="112" ht="31" customHeight="1">
      <x:c r="A112" s="93" t="str">
        <x:f>IF($M112="","",INDEX('전체 WBS'!$AR$9:$AV$9,1,$O112))</x:f>
        <x:v>M4 박진혁</x:v>
      </x:c>
      <x:c r="B112" s="93" t="str">
        <x:f>IF($M112="","",IF(ISNUMBER(SEARCH($A112,INDEX('전체 WBS'!$D$1:$D$90,$N112))),"주담당","협업"))</x:f>
        <x:v>협업</x:v>
      </x:c>
      <x:c r="C112" s="93" t="str">
        <x:f>IF($M112="","",INDEX('전체 WBS'!$A$1:$A$90,$N112))</x:f>
        <x:v>I26.1</x:v>
      </x:c>
      <x:c r="D112" s="93" t="str">
        <x:f>IF($M112="","",INDEX('전체 WBS'!$B$1:$B$90,$N112))</x:f>
        <x:v>보안·검증</x:v>
      </x:c>
      <x:c r="E112" s="93" t="str">
        <x:f>IF($M112="","",INDEX('전체 WBS'!$C$1:$C$90,$N112))</x:f>
        <x:v>M3 TO-BE 토폴로지·보안 정책 설계</x:v>
      </x:c>
      <x:c r="F112" s="94" t="str">
        <x:f>IF($M112="","",INDEX('전체 WBS'!$F$1:$F$90,$N112))</x:f>
        <x:v>46329</x:v>
      </x:c>
      <x:c r="G112" s="94" t="str">
        <x:f>IF($M112="","",INDEX('전체 WBS'!$G$1:$G$90,$N112))</x:f>
        <x:v>46329</x:v>
      </x:c>
      <x:c r="H112" s="95" t="str">
        <x:f>IF($M112="","",INDEX('전체 WBS'!$H$1:$H$90,$N112))</x:f>
        <x:v>미확인</x:v>
      </x:c>
      <x:c r="I112" s="93" t="str">
        <x:f>IF($M112="","",INDEX('전체 WBS'!$I$1:$I$90,$N112))</x:f>
        <x:v>I25</x:v>
      </x:c>
      <x:c r="J112" s="93" t="str">
        <x:f>IF($M112="","",INDEX('전체 WBS'!$D$1:$D$90,$N112))</x:f>
        <x:v>M3 홍은서(PL)</x:v>
      </x:c>
      <x:c r="K112" s="93" t="str">
        <x:f>IF($M112="","",INDEX('전체 WBS'!$E$1:$E$90,$N112))</x:f>
        <x:v>M4 박진혁 · M5 유은혜</x:v>
      </x:c>
      <x:c r="L112" s="100" t="str">
        <x:f>IF($M112="","",HYPERLINK(INDEX('전체 WBS'!$AW$1:$AW$90,$N112),"원문"))</x:f>
        <x:v>원문</x:v>
      </x:c>
      <x:c r="M112" s="4" t="n">
        <x:f>IF(105&lt;=COUNTIFS('전체 WBS'!$AR$10:$AV$90,"&lt;1000000000"),SMALL('전체 WBS'!$AR$10:$AV$90,105),"")</x:f>
        <x:v>446329055.0</x:v>
      </x:c>
      <x:c r="N112" s="4" t="n">
        <x:f>IF($M112="","",MOD($M112,1000))</x:f>
        <x:v>55.0</x:v>
      </x:c>
      <x:c r="O112" s="4" t="n">
        <x:f>IF($M112="","",INT($M112/100000000))</x:f>
        <x:v>4.0</x:v>
      </x:c>
    </x:row>
    <x:row r="113" ht="31" customHeight="1">
      <x:c r="A113" s="93" t="str">
        <x:f>IF($M113="","",INDEX('전체 WBS'!$AR$9:$AV$9,1,$O113))</x:f>
        <x:v>M4 박진혁</x:v>
      </x:c>
      <x:c r="B113" s="93" t="str">
        <x:f>IF($M113="","",IF(ISNUMBER(SEARCH($A113,INDEX('전체 WBS'!$D$1:$D$90,$N113))),"주담당","협업"))</x:f>
        <x:v>주담당</x:v>
      </x:c>
      <x:c r="C113" s="93" t="str">
        <x:f>IF($M113="","",INDEX('전체 WBS'!$A$1:$A$90,$N113))</x:f>
        <x:v>I31.1</x:v>
      </x:c>
      <x:c r="D113" s="93" t="str">
        <x:f>IF($M113="","",INDEX('전체 WBS'!$B$1:$B$90,$N113))</x:f>
        <x:v>보안·검증</x:v>
      </x:c>
      <x:c r="E113" s="93" t="str">
        <x:f>IF($M113="","",INDEX('전체 WBS'!$C$1:$C$90,$N113))</x:f>
        <x:v>M4 TO-BE 토폴로지·보안 정책 설계</x:v>
      </x:c>
      <x:c r="F113" s="94" t="str">
        <x:f>IF($M113="","",INDEX('전체 WBS'!$F$1:$F$90,$N113))</x:f>
        <x:v>46329</x:v>
      </x:c>
      <x:c r="G113" s="94" t="str">
        <x:f>IF($M113="","",INDEX('전체 WBS'!$G$1:$G$90,$N113))</x:f>
        <x:v>46329</x:v>
      </x:c>
      <x:c r="H113" s="95" t="str">
        <x:f>IF($M113="","",INDEX('전체 WBS'!$H$1:$H$90,$N113))</x:f>
        <x:v>미확인</x:v>
      </x:c>
      <x:c r="I113" s="93" t="str">
        <x:f>IF($M113="","",INDEX('전체 WBS'!$I$1:$I$90,$N113))</x:f>
        <x:v>I30</x:v>
      </x:c>
      <x:c r="J113" s="93" t="str">
        <x:f>IF($M113="","",INDEX('전체 WBS'!$D$1:$D$90,$N113))</x:f>
        <x:v>M4 박진혁</x:v>
      </x:c>
      <x:c r="K113" s="93" t="str">
        <x:f>IF($M113="","",INDEX('전체 WBS'!$E$1:$E$90,$N113))</x:f>
        <x:v>M3 홍은서</x:v>
      </x:c>
      <x:c r="L113" s="100" t="str">
        <x:f>IF($M113="","",HYPERLINK(INDEX('전체 WBS'!$AW$1:$AW$90,$N113),"원문"))</x:f>
        <x:v>원문</x:v>
      </x:c>
      <x:c r="M113" s="4" t="n">
        <x:f>IF(106&lt;=COUNTIFS('전체 WBS'!$AR$10:$AV$90,"&lt;1000000000"),SMALL('전체 WBS'!$AR$10:$AV$90,106),"")</x:f>
        <x:v>446329056.0</x:v>
      </x:c>
      <x:c r="N113" s="4" t="n">
        <x:f>IF($M113="","",MOD($M113,1000))</x:f>
        <x:v>56.0</x:v>
      </x:c>
      <x:c r="O113" s="4" t="n">
        <x:f>IF($M113="","",INT($M113/100000000))</x:f>
        <x:v>4.0</x:v>
      </x:c>
    </x:row>
    <x:row r="114" ht="31" customHeight="1">
      <x:c r="A114" s="93" t="str">
        <x:f>IF($M114="","",INDEX('전체 WBS'!$AR$9:$AV$9,1,$O114))</x:f>
        <x:v>M4 박진혁</x:v>
      </x:c>
      <x:c r="B114" s="93" t="str">
        <x:f>IF($M114="","",IF(ISNUMBER(SEARCH($A114,INDEX('전체 WBS'!$D$1:$D$90,$N114))),"주담당","협업"))</x:f>
        <x:v>주담당</x:v>
      </x:c>
      <x:c r="C114" s="93" t="str">
        <x:f>IF($M114="","",INDEX('전체 WBS'!$A$1:$A$90,$N114))</x:f>
        <x:v>I31.2</x:v>
      </x:c>
      <x:c r="D114" s="93" t="str">
        <x:f>IF($M114="","",INDEX('전체 WBS'!$B$1:$B$90,$N114))</x:f>
        <x:v>보안·검증</x:v>
      </x:c>
      <x:c r="E114" s="93" t="str">
        <x:f>IF($M114="","",INDEX('전체 WBS'!$C$1:$C$90,$N114))</x:f>
        <x:v>백업 파일 접근권한·감사 로그 설정</x:v>
      </x:c>
      <x:c r="F114" s="94" t="str">
        <x:f>IF($M114="","",INDEX('전체 WBS'!$F$1:$F$90,$N114))</x:f>
        <x:v>46330</x:v>
      </x:c>
      <x:c r="G114" s="94" t="str">
        <x:f>IF($M114="","",INDEX('전체 WBS'!$G$1:$G$90,$N114))</x:f>
        <x:v>46330</x:v>
      </x:c>
      <x:c r="H114" s="95" t="str">
        <x:f>IF($M114="","",INDEX('전체 WBS'!$H$1:$H$90,$N114))</x:f>
        <x:v>미확인</x:v>
      </x:c>
      <x:c r="I114" s="93" t="str">
        <x:f>IF($M114="","",INDEX('전체 WBS'!$I$1:$I$90,$N114))</x:f>
        <x:v>I31.1</x:v>
      </x:c>
      <x:c r="J114" s="93" t="str">
        <x:f>IF($M114="","",INDEX('전체 WBS'!$D$1:$D$90,$N114))</x:f>
        <x:v>M4 박진혁</x:v>
      </x:c>
      <x:c r="K114" s="93" t="str">
        <x:f>IF($M114="","",INDEX('전체 WBS'!$E$1:$E$90,$N114))</x:f>
        <x:v>—</x:v>
      </x:c>
      <x:c r="L114" s="100" t="str">
        <x:f>IF($M114="","",HYPERLINK(INDEX('전체 WBS'!$AW$1:$AW$90,$N114),"원문"))</x:f>
        <x:v>원문</x:v>
      </x:c>
      <x:c r="M114" s="4" t="n">
        <x:f>IF(107&lt;=COUNTIFS('전체 WBS'!$AR$10:$AV$90,"&lt;1000000000"),SMALL('전체 WBS'!$AR$10:$AV$90,107),"")</x:f>
        <x:v>446330063.0</x:v>
      </x:c>
      <x:c r="N114" s="4" t="n">
        <x:f>IF($M114="","",MOD($M114,1000))</x:f>
        <x:v>63.0</x:v>
      </x:c>
      <x:c r="O114" s="4" t="n">
        <x:f>IF($M114="","",INT($M114/100000000))</x:f>
        <x:v>4.0</x:v>
      </x:c>
    </x:row>
    <x:row r="115" ht="31" customHeight="1">
      <x:c r="A115" s="93" t="str">
        <x:f>IF($M115="","",INDEX('전체 WBS'!$AR$9:$AV$9,1,$O115))</x:f>
        <x:v>M4 박진혁</x:v>
      </x:c>
      <x:c r="B115" s="93" t="str">
        <x:f>IF($M115="","",IF(ISNUMBER(SEARCH($A115,INDEX('전체 WBS'!$D$1:$D$90,$N115))),"주담당","협업"))</x:f>
        <x:v>주담당</x:v>
      </x:c>
      <x:c r="C115" s="93" t="str">
        <x:f>IF($M115="","",INDEX('전체 WBS'!$A$1:$A$90,$N115))</x:f>
        <x:v>C10.3</x:v>
      </x:c>
      <x:c r="D115" s="93" t="str">
        <x:f>IF($M115="","",INDEX('전체 WBS'!$B$1:$B$90,$N115))</x:f>
        <x:v>보안·검증</x:v>
      </x:c>
      <x:c r="E115" s="93" t="str">
        <x:f>IF($M115="","",INDEX('전체 WBS'!$C$1:$C$90,$N115))</x:f>
        <x:v>격리 DB 초기 복원 테스트</x:v>
      </x:c>
      <x:c r="F115" s="94" t="str">
        <x:f>IF($M115="","",INDEX('전체 WBS'!$F$1:$F$90,$N115))</x:f>
        <x:v>46330</x:v>
      </x:c>
      <x:c r="G115" s="94" t="str">
        <x:f>IF($M115="","",INDEX('전체 WBS'!$G$1:$G$90,$N115))</x:f>
        <x:v>46330</x:v>
      </x:c>
      <x:c r="H115" s="95" t="str">
        <x:f>IF($M115="","",INDEX('전체 WBS'!$H$1:$H$90,$N115))</x:f>
        <x:v>미확인</x:v>
      </x:c>
      <x:c r="I115" s="93" t="str">
        <x:f>IF($M115="","",INDEX('전체 WBS'!$I$1:$I$90,$N115))</x:f>
        <x:v>I31.1, C10.2</x:v>
      </x:c>
      <x:c r="J115" s="93" t="str">
        <x:f>IF($M115="","",INDEX('전체 WBS'!$D$1:$D$90,$N115))</x:f>
        <x:v>M4 박진혁</x:v>
      </x:c>
      <x:c r="K115" s="93" t="str">
        <x:f>IF($M115="","",INDEX('전체 WBS'!$E$1:$E$90,$N115))</x:f>
        <x:v>—</x:v>
      </x:c>
      <x:c r="L115" s="100" t="str">
        <x:f>IF($M115="","",HYPERLINK(INDEX('전체 WBS'!$AW$1:$AW$90,$N115),"원문"))</x:f>
        <x:v>원문</x:v>
      </x:c>
      <x:c r="M115" s="4" t="n">
        <x:f>IF(108&lt;=COUNTIFS('전체 WBS'!$AR$10:$AV$90,"&lt;1000000000"),SMALL('전체 WBS'!$AR$10:$AV$90,108),"")</x:f>
        <x:v>446330064.0</x:v>
      </x:c>
      <x:c r="N115" s="4" t="n">
        <x:f>IF($M115="","",MOD($M115,1000))</x:f>
        <x:v>64.0</x:v>
      </x:c>
      <x:c r="O115" s="4" t="n">
        <x:f>IF($M115="","",INT($M115/100000000))</x:f>
        <x:v>4.0</x:v>
      </x:c>
    </x:row>
    <x:row r="116" ht="31" customHeight="1">
      <x:c r="A116" s="93" t="str">
        <x:f>IF($M116="","",INDEX('전체 WBS'!$AR$9:$AV$9,1,$O116))</x:f>
        <x:v>M4 박진혁</x:v>
      </x:c>
      <x:c r="B116" s="93" t="str">
        <x:f>IF($M116="","",IF(ISNUMBER(SEARCH($A116,INDEX('전체 WBS'!$D$1:$D$90,$N116))),"주담당","협업"))</x:f>
        <x:v>주담당</x:v>
      </x:c>
      <x:c r="C116" s="93" t="str">
        <x:f>IF($M116="","",INDEX('전체 WBS'!$A$1:$A$90,$N116))</x:f>
        <x:v>I31.3</x:v>
      </x:c>
      <x:c r="D116" s="93" t="str">
        <x:f>IF($M116="","",INDEX('전체 WBS'!$B$1:$B$90,$N116))</x:f>
        <x:v>인프라</x:v>
      </x:c>
      <x:c r="E116" s="93" t="str">
        <x:f>IF($M116="","",INDEX('전체 WBS'!$C$1:$C$90,$N116))</x:f>
        <x:v>원본·복제 DB 초기 동기화</x:v>
      </x:c>
      <x:c r="F116" s="94" t="str">
        <x:f>IF($M116="","",INDEX('전체 WBS'!$F$1:$F$90,$N116))</x:f>
        <x:v>46331</x:v>
      </x:c>
      <x:c r="G116" s="94" t="str">
        <x:f>IF($M116="","",INDEX('전체 WBS'!$G$1:$G$90,$N116))</x:f>
        <x:v>46331</x:v>
      </x:c>
      <x:c r="H116" s="95" t="str">
        <x:f>IF($M116="","",INDEX('전체 WBS'!$H$1:$H$90,$N116))</x:f>
        <x:v>미확인</x:v>
      </x:c>
      <x:c r="I116" s="93" t="str">
        <x:f>IF($M116="","",INDEX('전체 WBS'!$I$1:$I$90,$N116))</x:f>
        <x:v>I31.1, C10.2</x:v>
      </x:c>
      <x:c r="J116" s="93" t="str">
        <x:f>IF($M116="","",INDEX('전체 WBS'!$D$1:$D$90,$N116))</x:f>
        <x:v>M4 박진혁</x:v>
      </x:c>
      <x:c r="K116" s="93" t="str">
        <x:f>IF($M116="","",INDEX('전체 WBS'!$E$1:$E$90,$N116))</x:f>
        <x:v>M3 홍은서</x:v>
      </x:c>
      <x:c r="L116" s="100" t="str">
        <x:f>IF($M116="","",HYPERLINK(INDEX('전체 WBS'!$AW$1:$AW$90,$N116),"원문"))</x:f>
        <x:v>원문</x:v>
      </x:c>
      <x:c r="M116" s="4" t="n">
        <x:f>IF(109&lt;=COUNTIFS('전체 WBS'!$AR$10:$AV$90,"&lt;1000000000"),SMALL('전체 WBS'!$AR$10:$AV$90,109),"")</x:f>
        <x:v>446331065.0</x:v>
      </x:c>
      <x:c r="N116" s="4" t="n">
        <x:f>IF($M116="","",MOD($M116,1000))</x:f>
        <x:v>65.0</x:v>
      </x:c>
      <x:c r="O116" s="4" t="n">
        <x:f>IF($M116="","",INT($M116/100000000))</x:f>
        <x:v>4.0</x:v>
      </x:c>
    </x:row>
    <x:row r="117" ht="31" customHeight="1">
      <x:c r="A117" s="93" t="str">
        <x:f>IF($M117="","",INDEX('전체 WBS'!$AR$9:$AV$9,1,$O117))</x:f>
        <x:v>M4 박진혁</x:v>
      </x:c>
      <x:c r="B117" s="93" t="str">
        <x:f>IF($M117="","",IF(ISNUMBER(SEARCH($A117,INDEX('전체 WBS'!$D$1:$D$90,$N117))),"주담당","협업"))</x:f>
        <x:v>주담당</x:v>
      </x:c>
      <x:c r="C117" s="93" t="str">
        <x:f>IF($M117="","",INDEX('전체 WBS'!$A$1:$A$90,$N117))</x:f>
        <x:v>C10.4</x:v>
      </x:c>
      <x:c r="D117" s="93" t="str">
        <x:f>IF($M117="","",INDEX('전체 WBS'!$B$1:$B$90,$N117))</x:f>
        <x:v>보안·검증</x:v>
      </x:c>
      <x:c r="E117" s="93" t="str">
        <x:f>IF($M117="","",INDEX('전체 WBS'!$C$1:$C$90,$N117))</x:f>
        <x:v>S3 백업본·격리 복원 검증</x:v>
      </x:c>
      <x:c r="F117" s="94" t="str">
        <x:f>IF($M117="","",INDEX('전체 WBS'!$F$1:$F$90,$N117))</x:f>
        <x:v>46332</x:v>
      </x:c>
      <x:c r="G117" s="94" t="str">
        <x:f>IF($M117="","",INDEX('전체 WBS'!$G$1:$G$90,$N117))</x:f>
        <x:v>46332</x:v>
      </x:c>
      <x:c r="H117" s="95" t="str">
        <x:f>IF($M117="","",INDEX('전체 WBS'!$H$1:$H$90,$N117))</x:f>
        <x:v>미확인</x:v>
      </x:c>
      <x:c r="I117" s="93" t="str">
        <x:f>IF($M117="","",INDEX('전체 WBS'!$I$1:$I$90,$N117))</x:f>
        <x:v>C10.3, I31.3</x:v>
      </x:c>
      <x:c r="J117" s="93" t="str">
        <x:f>IF($M117="","",INDEX('전체 WBS'!$D$1:$D$90,$N117))</x:f>
        <x:v>M4 박진혁</x:v>
      </x:c>
      <x:c r="K117" s="93" t="str">
        <x:f>IF($M117="","",INDEX('전체 WBS'!$E$1:$E$90,$N117))</x:f>
        <x:v>—</x:v>
      </x:c>
      <x:c r="L117" s="100" t="str">
        <x:f>IF($M117="","",HYPERLINK(INDEX('전체 WBS'!$AW$1:$AW$90,$N117),"원문"))</x:f>
        <x:v>원문</x:v>
      </x:c>
      <x:c r="M117" s="4" t="n">
        <x:f>IF(110&lt;=COUNTIFS('전체 WBS'!$AR$10:$AV$90,"&lt;1000000000"),SMALL('전체 WBS'!$AR$10:$AV$90,110),"")</x:f>
        <x:v>446332066.0</x:v>
      </x:c>
      <x:c r="N117" s="4" t="n">
        <x:f>IF($M117="","",MOD($M117,1000))</x:f>
        <x:v>66.0</x:v>
      </x:c>
      <x:c r="O117" s="4" t="n">
        <x:f>IF($M117="","",INT($M117/100000000))</x:f>
        <x:v>4.0</x:v>
      </x:c>
    </x:row>
    <x:row r="118" ht="31" customHeight="1">
      <x:c r="A118" s="93" t="str">
        <x:f>IF($M118="","",INDEX('전체 WBS'!$AR$9:$AV$9,1,$O118))</x:f>
        <x:v>M4 박진혁</x:v>
      </x:c>
      <x:c r="B118" s="93" t="str">
        <x:f>IF($M118="","",IF(ISNUMBER(SEARCH($A118,INDEX('전체 WBS'!$D$1:$D$90,$N118))),"주담당","협업"))</x:f>
        <x:v>주담당</x:v>
      </x:c>
      <x:c r="C118" s="93" t="str">
        <x:f>IF($M118="","",INDEX('전체 WBS'!$A$1:$A$90,$N118))</x:f>
        <x:v>I32</x:v>
      </x:c>
      <x:c r="D118" s="93" t="str">
        <x:f>IF($M118="","",INDEX('전체 WBS'!$B$1:$B$90,$N118))</x:f>
        <x:v>보안·검증</x:v>
      </x:c>
      <x:c r="E118" s="93" t="str">
        <x:f>IF($M118="","",INDEX('전체 WBS'!$C$1:$C$90,$N118))</x:f>
        <x:v>S04 재공격·정상 동작 검증</x:v>
      </x:c>
      <x:c r="F118" s="94" t="str">
        <x:f>IF($M118="","",INDEX('전체 WBS'!$F$1:$F$90,$N118))</x:f>
        <x:v>46335</x:v>
      </x:c>
      <x:c r="G118" s="94" t="str">
        <x:f>IF($M118="","",INDEX('전체 WBS'!$G$1:$G$90,$N118))</x:f>
        <x:v>46336</x:v>
      </x:c>
      <x:c r="H118" s="95" t="str">
        <x:f>IF($M118="","",INDEX('전체 WBS'!$H$1:$H$90,$N118))</x:f>
        <x:v>미확인</x:v>
      </x:c>
      <x:c r="I118" s="93" t="str">
        <x:f>IF($M118="","",INDEX('전체 WBS'!$I$1:$I$90,$N118))</x:f>
        <x:v>I31.2, C10.4</x:v>
      </x:c>
      <x:c r="J118" s="93" t="str">
        <x:f>IF($M118="","",INDEX('전체 WBS'!$D$1:$D$90,$N118))</x:f>
        <x:v>M4 박진혁</x:v>
      </x:c>
      <x:c r="K118" s="93" t="str">
        <x:f>IF($M118="","",INDEX('전체 WBS'!$E$1:$E$90,$N118))</x:f>
        <x:v>—</x:v>
      </x:c>
      <x:c r="L118" s="100" t="str">
        <x:f>IF($M118="","",HYPERLINK(INDEX('전체 WBS'!$AW$1:$AW$90,$N118),"원문"))</x:f>
        <x:v>원문</x:v>
      </x:c>
      <x:c r="M118" s="4" t="n">
        <x:f>IF(111&lt;=COUNTIFS('전체 WBS'!$AR$10:$AV$90,"&lt;1000000000"),SMALL('전체 WBS'!$AR$10:$AV$90,111),"")</x:f>
        <x:v>446335075.0</x:v>
      </x:c>
      <x:c r="N118" s="4" t="n">
        <x:f>IF($M118="","",MOD($M118,1000))</x:f>
        <x:v>75.0</x:v>
      </x:c>
      <x:c r="O118" s="4" t="n">
        <x:f>IF($M118="","",INT($M118/100000000))</x:f>
        <x:v>4.0</x:v>
      </x:c>
    </x:row>
    <x:row r="119" ht="31" customHeight="1">
      <x:c r="A119" s="93" t="str">
        <x:f>IF($M119="","",INDEX('전체 WBS'!$AR$9:$AV$9,1,$O119))</x:f>
        <x:v>M4 박진혁</x:v>
      </x:c>
      <x:c r="B119" s="93" t="str">
        <x:f>IF($M119="","",IF(ISNUMBER(SEARCH($A119,INDEX('전체 WBS'!$D$1:$D$90,$N119))),"주담당","협업"))</x:f>
        <x:v>주담당</x:v>
      </x:c>
      <x:c r="C119" s="93" t="str">
        <x:f>IF($M119="","",INDEX('전체 WBS'!$A$1:$A$90,$N119))</x:f>
        <x:v>C10.5</x:v>
      </x:c>
      <x:c r="D119" s="93" t="str">
        <x:f>IF($M119="","",INDEX('전체 WBS'!$B$1:$B$90,$N119))</x:f>
        <x:v>보안·검증</x:v>
      </x:c>
      <x:c r="E119" s="93" t="str">
        <x:f>IF($M119="","",INDEX('전체 WBS'!$C$1:$C$90,$N119))</x:f>
        <x:v>DB 복제·백업·복원 재검증</x:v>
      </x:c>
      <x:c r="F119" s="94" t="str">
        <x:f>IF($M119="","",INDEX('전체 WBS'!$F$1:$F$90,$N119))</x:f>
        <x:v>46335</x:v>
      </x:c>
      <x:c r="G119" s="94" t="str">
        <x:f>IF($M119="","",INDEX('전체 WBS'!$G$1:$G$90,$N119))</x:f>
        <x:v>46336</x:v>
      </x:c>
      <x:c r="H119" s="95" t="str">
        <x:f>IF($M119="","",INDEX('전체 WBS'!$H$1:$H$90,$N119))</x:f>
        <x:v>미확인</x:v>
      </x:c>
      <x:c r="I119" s="93" t="str">
        <x:f>IF($M119="","",INDEX('전체 WBS'!$I$1:$I$90,$N119))</x:f>
        <x:v>I31.3, C10.4</x:v>
      </x:c>
      <x:c r="J119" s="93" t="str">
        <x:f>IF($M119="","",INDEX('전체 WBS'!$D$1:$D$90,$N119))</x:f>
        <x:v>M4 박진혁</x:v>
      </x:c>
      <x:c r="K119" s="93" t="str">
        <x:f>IF($M119="","",INDEX('전체 WBS'!$E$1:$E$90,$N119))</x:f>
        <x:v>M3 홍은서</x:v>
      </x:c>
      <x:c r="L119" s="100" t="str">
        <x:f>IF($M119="","",HYPERLINK(INDEX('전체 WBS'!$AW$1:$AW$90,$N119),"원문"))</x:f>
        <x:v>원문</x:v>
      </x:c>
      <x:c r="M119" s="4" t="n">
        <x:f>IF(112&lt;=COUNTIFS('전체 WBS'!$AR$10:$AV$90,"&lt;1000000000"),SMALL('전체 WBS'!$AR$10:$AV$90,112),"")</x:f>
        <x:v>446335077.0</x:v>
      </x:c>
      <x:c r="N119" s="4" t="n">
        <x:f>IF($M119="","",MOD($M119,1000))</x:f>
        <x:v>77.0</x:v>
      </x:c>
      <x:c r="O119" s="4" t="n">
        <x:f>IF($M119="","",INT($M119/100000000))</x:f>
        <x:v>4.0</x:v>
      </x:c>
    </x:row>
    <x:row r="120" ht="31" customHeight="1">
      <x:c r="A120" s="93" t="str">
        <x:f>IF($M120="","",INDEX('전체 WBS'!$AR$9:$AV$9,1,$O120))</x:f>
        <x:v>M4 박진혁</x:v>
      </x:c>
      <x:c r="B120" s="93" t="str">
        <x:f>IF($M120="","",IF(ISNUMBER(SEARCH($A120,INDEX('전체 WBS'!$D$1:$D$90,$N120))),"주담당","협업"))</x:f>
        <x:v>주담당</x:v>
      </x:c>
      <x:c r="C120" s="93" t="str">
        <x:f>IF($M120="","",INDEX('전체 WBS'!$A$1:$A$90,$N120))</x:f>
        <x:v>I33</x:v>
      </x:c>
      <x:c r="D120" s="93" t="str">
        <x:f>IF($M120="","",INDEX('전체 WBS'!$B$1:$B$90,$N120))</x:f>
        <x:v>공동·관리</x:v>
      </x:c>
      <x:c r="E120" s="93" t="str">
        <x:f>IF($M120="","",INDEX('전체 WBS'!$C$1:$C$90,$N120))</x:f>
        <x:v>M4 결과·발표자료 정리</x:v>
      </x:c>
      <x:c r="F120" s="94" t="str">
        <x:f>IF($M120="","",INDEX('전체 WBS'!$F$1:$F$90,$N120))</x:f>
        <x:v>46337</x:v>
      </x:c>
      <x:c r="G120" s="94" t="str">
        <x:f>IF($M120="","",INDEX('전체 WBS'!$G$1:$G$90,$N120))</x:f>
        <x:v>46338</x:v>
      </x:c>
      <x:c r="H120" s="95" t="str">
        <x:f>IF($M120="","",INDEX('전체 WBS'!$H$1:$H$90,$N120))</x:f>
        <x:v>미확인</x:v>
      </x:c>
      <x:c r="I120" s="93" t="str">
        <x:f>IF($M120="","",INDEX('전체 WBS'!$I$1:$I$90,$N120))</x:f>
        <x:v>I32</x:v>
      </x:c>
      <x:c r="J120" s="93" t="str">
        <x:f>IF($M120="","",INDEX('전체 WBS'!$D$1:$D$90,$N120))</x:f>
        <x:v>M4 박진혁</x:v>
      </x:c>
      <x:c r="K120" s="93" t="str">
        <x:f>IF($M120="","",INDEX('전체 WBS'!$E$1:$E$90,$N120))</x:f>
        <x:v>M5 유은혜</x:v>
      </x:c>
      <x:c r="L120" s="100" t="str">
        <x:f>IF($M120="","",HYPERLINK(INDEX('전체 WBS'!$AW$1:$AW$90,$N120),"원문"))</x:f>
        <x:v>원문</x:v>
      </x:c>
      <x:c r="M120" s="4" t="n">
        <x:f>IF(113&lt;=COUNTIFS('전체 WBS'!$AR$10:$AV$90,"&lt;1000000000"),SMALL('전체 WBS'!$AR$10:$AV$90,113),"")</x:f>
        <x:v>446337084.0</x:v>
      </x:c>
      <x:c r="N120" s="4" t="n">
        <x:f>IF($M120="","",MOD($M120,1000))</x:f>
        <x:v>84.0</x:v>
      </x:c>
      <x:c r="O120" s="4" t="n">
        <x:f>IF($M120="","",INT($M120/100000000))</x:f>
        <x:v>4.0</x:v>
      </x:c>
    </x:row>
    <x:row r="121" ht="31" customHeight="1">
      <x:c r="A121" s="93" t="str">
        <x:f>IF($M121="","",INDEX('전체 WBS'!$AR$9:$AV$9,1,$O121))</x:f>
        <x:v>M4 박진혁</x:v>
      </x:c>
      <x:c r="B121" s="93" t="str">
        <x:f>IF($M121="","",IF(ISNUMBER(SEARCH($A121,INDEX('전체 WBS'!$D$1:$D$90,$N121))),"주담당","협업"))</x:f>
        <x:v>협업</x:v>
      </x:c>
      <x:c r="C121" s="93" t="str">
        <x:f>IF($M121="","",INDEX('전체 WBS'!$A$1:$A$90,$N121))</x:f>
        <x:v>C13.2</x:v>
      </x:c>
      <x:c r="D121" s="93" t="str">
        <x:f>IF($M121="","",INDEX('전체 WBS'!$B$1:$B$90,$N121))</x:f>
        <x:v>공동·관리</x:v>
      </x:c>
      <x:c r="E121" s="93" t="str">
        <x:f>IF($M121="","",INDEX('전체 WBS'!$C$1:$C$90,$N121))</x:f>
        <x:v>전원 리허설·환경 복구 확인</x:v>
      </x:c>
      <x:c r="F121" s="94" t="str">
        <x:f>IF($M121="","",INDEX('전체 WBS'!$F$1:$F$90,$N121))</x:f>
        <x:v>46339</x:v>
      </x:c>
      <x:c r="G121" s="94" t="str">
        <x:f>IF($M121="","",INDEX('전체 WBS'!$G$1:$G$90,$N121))</x:f>
        <x:v>46339</x:v>
      </x:c>
      <x:c r="H121" s="95" t="str">
        <x:f>IF($M121="","",INDEX('전체 WBS'!$H$1:$H$90,$N121))</x:f>
        <x:v>미확인</x:v>
      </x:c>
      <x:c r="I121" s="93" t="str">
        <x:f>IF($M121="","",INDEX('전체 WBS'!$I$1:$I$90,$N121))</x:f>
        <x:v>C13.1</x:v>
      </x:c>
      <x:c r="J121" s="93" t="str">
        <x:f>IF($M121="","",INDEX('전체 WBS'!$D$1:$D$90,$N121))</x:f>
        <x:v>M5 유은혜(PM)</x:v>
      </x:c>
      <x:c r="K121" s="93" t="str">
        <x:f>IF($M121="","",INDEX('전체 WBS'!$E$1:$E$90,$N121))</x:f>
        <x:v>M1 유용수 · M2 윤서영
M3 홍은서 · M4 박진혁</x:v>
      </x:c>
      <x:c r="L121" s="100" t="str">
        <x:f>IF($M121="","",HYPERLINK(INDEX('전체 WBS'!$AW$1:$AW$90,$N121),"원문"))</x:f>
        <x:v>원문</x:v>
      </x:c>
      <x:c r="M121" s="4" t="n">
        <x:f>IF(114&lt;=COUNTIFS('전체 WBS'!$AR$10:$AV$90,"&lt;1000000000"),SMALL('전체 WBS'!$AR$10:$AV$90,114),"")</x:f>
        <x:v>446339087.0</x:v>
      </x:c>
      <x:c r="N121" s="4" t="n">
        <x:f>IF($M121="","",MOD($M121,1000))</x:f>
        <x:v>87.0</x:v>
      </x:c>
      <x:c r="O121" s="4" t="n">
        <x:f>IF($M121="","",INT($M121/100000000))</x:f>
        <x:v>4.0</x:v>
      </x:c>
    </x:row>
    <x:row r="122" ht="31" customHeight="1">
      <x:c r="A122" s="93" t="str">
        <x:f>IF($M122="","",INDEX('전체 WBS'!$AR$9:$AV$9,1,$O122))</x:f>
        <x:v>M4 박진혁</x:v>
      </x:c>
      <x:c r="B122" s="93" t="str">
        <x:f>IF($M122="","",IF(ISNUMBER(SEARCH($A122,INDEX('전체 WBS'!$D$1:$D$90,$N122))),"주담당","협업"))</x:f>
        <x:v>협업</x:v>
      </x:c>
      <x:c r="C122" s="93" t="str">
        <x:f>IF($M122="","",INDEX('전체 WBS'!$A$1:$A$90,$N122))</x:f>
        <x:v>C13.4</x:v>
      </x:c>
      <x:c r="D122" s="93" t="str">
        <x:f>IF($M122="","",INDEX('전체 WBS'!$B$1:$B$90,$N122))</x:f>
        <x:v>공동·관리</x:v>
      </x:c>
      <x:c r="E122" s="93" t="str">
        <x:f>IF($M122="","",INDEX('전체 WBS'!$C$1:$C$90,$N122))</x:f>
        <x:v>최종 발표·실습 자원 정리</x:v>
      </x:c>
      <x:c r="F122" s="94" t="str">
        <x:f>IF($M122="","",INDEX('전체 WBS'!$F$1:$F$90,$N122))</x:f>
        <x:v>46342</x:v>
      </x:c>
      <x:c r="G122" s="94" t="str">
        <x:f>IF($M122="","",INDEX('전체 WBS'!$G$1:$G$90,$N122))</x:f>
        <x:v>46342</x:v>
      </x:c>
      <x:c r="H122" s="95" t="str">
        <x:f>IF($M122="","",INDEX('전체 WBS'!$H$1:$H$90,$N122))</x:f>
        <x:v>미확인</x:v>
      </x:c>
      <x:c r="I122" s="93" t="str">
        <x:f>IF($M122="","",INDEX('전체 WBS'!$I$1:$I$90,$N122))</x:f>
        <x:v>C13.3</x:v>
      </x:c>
      <x:c r="J122" s="93" t="str">
        <x:f>IF($M122="","",INDEX('전체 WBS'!$D$1:$D$90,$N122))</x:f>
        <x:v>M5 유은혜(PM)</x:v>
      </x:c>
      <x:c r="K122" s="93" t="str">
        <x:f>IF($M122="","",INDEX('전체 WBS'!$E$1:$E$90,$N122))</x:f>
        <x:v>M1 유용수 · M2 윤서영
M3 홍은서 · M4 박진혁</x:v>
      </x:c>
      <x:c r="L122" s="100" t="str">
        <x:f>IF($M122="","",HYPERLINK(INDEX('전체 WBS'!$AW$1:$AW$90,$N122),"원문"))</x:f>
        <x:v>원문</x:v>
      </x:c>
      <x:c r="M122" s="4" t="n">
        <x:f>IF(115&lt;=COUNTIFS('전체 WBS'!$AR$10:$AV$90,"&lt;1000000000"),SMALL('전체 WBS'!$AR$10:$AV$90,115),"")</x:f>
        <x:v>446342089.0</x:v>
      </x:c>
      <x:c r="N122" s="4" t="n">
        <x:f>IF($M122="","",MOD($M122,1000))</x:f>
        <x:v>89.0</x:v>
      </x:c>
      <x:c r="O122" s="4" t="n">
        <x:f>IF($M122="","",INT($M122/100000000))</x:f>
        <x:v>4.0</x:v>
      </x:c>
    </x:row>
    <x:row r="123" ht="31" customHeight="1">
      <x:c r="A123" s="93" t="str">
        <x:f>IF($M123="","",INDEX('전체 WBS'!$AR$9:$AV$9,1,$O123))</x:f>
        <x:v>M4 박진혁</x:v>
      </x:c>
      <x:c r="B123" s="93" t="str">
        <x:f>IF($M123="","",IF(ISNUMBER(SEARCH($A123,INDEX('전체 WBS'!$D$1:$D$90,$N123))),"주담당","협업"))</x:f>
        <x:v>협업</x:v>
      </x:c>
      <x:c r="C123" s="93" t="str">
        <x:f>IF($M123="","",INDEX('전체 WBS'!$A$1:$A$90,$N123))</x:f>
        <x:v>MX1</x:v>
      </x:c>
      <x:c r="D123" s="93" t="str">
        <x:f>IF($M123="","",INDEX('전체 WBS'!$B$1:$B$90,$N123))</x:f>
        <x:v>공동·관리</x:v>
      </x:c>
      <x:c r="E123" s="93" t="str">
        <x:f>IF($M123="","",INDEX('전체 WBS'!$C$1:$C$90,$N123))</x:f>
        <x:v>M1 후속 실장비 네트워크 설계</x:v>
      </x:c>
      <x:c r="F123" s="94" t="str">
        <x:f>IF($M123="","",INDEX('전체 WBS'!$F$1:$F$90,$N123))</x:f>
        <x:v>확인 필요</x:v>
      </x:c>
      <x:c r="G123" s="94" t="str">
        <x:f>IF($M123="","",INDEX('전체 WBS'!$G$1:$G$90,$N123))</x:f>
        <x:v>확인 필요</x:v>
      </x:c>
      <x:c r="H123" s="95" t="str">
        <x:f>IF($M123="","",INDEX('전체 WBS'!$H$1:$H$90,$N123))</x:f>
        <x:v>미확인</x:v>
      </x:c>
      <x:c r="I123" s="93" t="str">
        <x:f>IF($M123="","",INDEX('전체 WBS'!$I$1:$I$90,$N123))</x:f>
        <x:v>—</x:v>
      </x:c>
      <x:c r="J123" s="93" t="str">
        <x:f>IF($M123="","",INDEX('전체 WBS'!$D$1:$D$90,$N123))</x:f>
        <x:v>M2 윤서영</x:v>
      </x:c>
      <x:c r="K123" s="93" t="str">
        <x:f>IF($M123="","",INDEX('전체 WBS'!$E$1:$E$90,$N123))</x:f>
        <x:v>M4 박진혁</x:v>
      </x:c>
      <x:c r="L123" s="100" t="str">
        <x:f>IF($M123="","",HYPERLINK(INDEX('전체 WBS'!$AW$1:$AW$90,$N123),"원문"))</x:f>
        <x:v>원문</x:v>
      </x:c>
      <x:c r="M123" s="4" t="n">
        <x:f>IF(116&lt;=COUNTIFS('전체 WBS'!$AR$10:$AV$90,"&lt;1000000000"),SMALL('전체 WBS'!$AR$10:$AV$90,116),"")</x:f>
        <x:v>499999090.0</x:v>
      </x:c>
      <x:c r="N123" s="4" t="n">
        <x:f>IF($M123="","",MOD($M123,1000))</x:f>
        <x:v>90.0</x:v>
      </x:c>
      <x:c r="O123" s="4" t="n">
        <x:f>IF($M123="","",INT($M123/100000000))</x:f>
        <x:v>4.0</x:v>
      </x:c>
    </x:row>
    <x:row r="124" ht="31" customHeight="1">
      <x:c r="A124" s="93" t="str">
        <x:f>IF($M124="","",INDEX('전체 WBS'!$AR$9:$AV$9,1,$O124))</x:f>
        <x:v>M5 유은혜</x:v>
      </x:c>
      <x:c r="B124" s="93" t="str">
        <x:f>IF($M124="","",IF(ISNUMBER(SEARCH($A124,INDEX('전체 WBS'!$D$1:$D$90,$N124))),"주담당","협업"))</x:f>
        <x:v>주담당</x:v>
      </x:c>
      <x:c r="C124" s="93" t="str">
        <x:f>IF($M124="","",INDEX('전체 WBS'!$A$1:$A$90,$N124))</x:f>
        <x:v>I05</x:v>
      </x:c>
      <x:c r="D124" s="93" t="str">
        <x:f>IF($M124="","",INDEX('전체 WBS'!$B$1:$B$90,$N124))</x:f>
        <x:v>인프라</x:v>
      </x:c>
      <x:c r="E124" s="93" t="str">
        <x:f>IF($M124="","",INDEX('전체 WBS'!$C$1:$C$90,$N124))</x:f>
        <x:v>캐나다 AS-IS 토폴로지 작성</x:v>
      </x:c>
      <x:c r="F124" s="94" t="str">
        <x:f>IF($M124="","",INDEX('전체 WBS'!$F$1:$F$90,$N124))</x:f>
        <x:v>46315</x:v>
      </x:c>
      <x:c r="G124" s="94" t="str">
        <x:f>IF($M124="","",INDEX('전체 WBS'!$G$1:$G$90,$N124))</x:f>
        <x:v>46316</x:v>
      </x:c>
      <x:c r="H124" s="95" t="str">
        <x:f>IF($M124="","",INDEX('전체 WBS'!$H$1:$H$90,$N124))</x:f>
        <x:v>완료</x:v>
      </x:c>
      <x:c r="I124" s="93" t="str">
        <x:f>IF($M124="","",INDEX('전체 WBS'!$I$1:$I$90,$N124))</x:f>
        <x:v>—</x:v>
      </x:c>
      <x:c r="J124" s="93" t="str">
        <x:f>IF($M124="","",INDEX('전체 WBS'!$D$1:$D$90,$N124))</x:f>
        <x:v>M5 유은혜(PM)</x:v>
      </x:c>
      <x:c r="K124" s="93" t="str">
        <x:f>IF($M124="","",INDEX('전체 WBS'!$E$1:$E$90,$N124))</x:f>
        <x:v>M3 홍은서</x:v>
      </x:c>
      <x:c r="L124" s="100" t="str">
        <x:f>IF($M124="","",HYPERLINK(INDEX('전체 WBS'!$AW$1:$AW$90,$N124),"원문"))</x:f>
        <x:v>원문</x:v>
      </x:c>
      <x:c r="M124" s="4" t="n">
        <x:f>IF(117&lt;=COUNTIFS('전체 WBS'!$AR$10:$AV$90,"&lt;1000000000"),SMALL('전체 WBS'!$AR$10:$AV$90,117),"")</x:f>
        <x:v>546315015.0</x:v>
      </x:c>
      <x:c r="N124" s="4" t="n">
        <x:f>IF($M124="","",MOD($M124,1000))</x:f>
        <x:v>15.0</x:v>
      </x:c>
      <x:c r="O124" s="4" t="n">
        <x:f>IF($M124="","",INT($M124/100000000))</x:f>
        <x:v>5.0</x:v>
      </x:c>
    </x:row>
    <x:row r="125" ht="31" customHeight="1">
      <x:c r="A125" s="93" t="str">
        <x:f>IF($M125="","",INDEX('전체 WBS'!$AR$9:$AV$9,1,$O125))</x:f>
        <x:v>M5 유은혜</x:v>
      </x:c>
      <x:c r="B125" s="93" t="str">
        <x:f>IF($M125="","",IF(ISNUMBER(SEARCH($A125,INDEX('전체 WBS'!$D$1:$D$90,$N125))),"주담당","협업"))</x:f>
        <x:v>주담당</x:v>
      </x:c>
      <x:c r="C125" s="93" t="str">
        <x:f>IF($M125="","",INDEX('전체 WBS'!$A$1:$A$90,$N125))</x:f>
        <x:v>C6.1</x:v>
      </x:c>
      <x:c r="D125" s="93" t="str">
        <x:f>IF($M125="","",INDEX('전체 WBS'!$B$1:$B$90,$N125))</x:f>
        <x:v>공동·관리</x:v>
      </x:c>
      <x:c r="E125" s="93" t="str">
        <x:f>IF($M125="","",INDEX('전체 WBS'!$C$1:$C$90,$N125))</x:f>
        <x:v>IP·구축 환경 기술 검토·계획서 개정</x:v>
      </x:c>
      <x:c r="F125" s="94" t="str">
        <x:f>IF($M125="","",INDEX('전체 WBS'!$F$1:$F$90,$N125))</x:f>
        <x:v>46316</x:v>
      </x:c>
      <x:c r="G125" s="94" t="str">
        <x:f>IF($M125="","",INDEX('전체 WBS'!$G$1:$G$90,$N125))</x:f>
        <x:v>46318</x:v>
      </x:c>
      <x:c r="H125" s="95" t="str">
        <x:f>IF($M125="","",INDEX('전체 WBS'!$H$1:$H$90,$N125))</x:f>
        <x:v>진행 중</x:v>
      </x:c>
      <x:c r="I125" s="93" t="str">
        <x:f>IF($M125="","",INDEX('전체 WBS'!$I$1:$I$90,$N125))</x:f>
        <x:v>I01, I02, I03, I04, I05</x:v>
      </x:c>
      <x:c r="J125" s="93" t="str">
        <x:f>IF($M125="","",INDEX('전체 WBS'!$D$1:$D$90,$N125))</x:f>
        <x:v>M5 유은혜(PM)</x:v>
      </x:c>
      <x:c r="K125" s="93" t="str">
        <x:f>IF($M125="","",INDEX('전체 WBS'!$E$1:$E$90,$N125))</x:f>
        <x:v>M3 홍은서 · M1 유용수
M2 윤서영 · M4 박진혁</x:v>
      </x:c>
      <x:c r="L125" s="100" t="str">
        <x:f>IF($M125="","",HYPERLINK(INDEX('전체 WBS'!$AW$1:$AW$90,$N125),"원문"))</x:f>
        <x:v>원문</x:v>
      </x:c>
      <x:c r="M125" s="4" t="n">
        <x:f>IF(118&lt;=COUNTIFS('전체 WBS'!$AR$10:$AV$90,"&lt;1000000000"),SMALL('전체 WBS'!$AR$10:$AV$90,118),"")</x:f>
        <x:v>546316016.0</x:v>
      </x:c>
      <x:c r="N125" s="4" t="n">
        <x:f>IF($M125="","",MOD($M125,1000))</x:f>
        <x:v>16.0</x:v>
      </x:c>
      <x:c r="O125" s="4" t="n">
        <x:f>IF($M125="","",INT($M125/100000000))</x:f>
        <x:v>5.0</x:v>
      </x:c>
    </x:row>
    <x:row r="126" ht="31" customHeight="1">
      <x:c r="A126" s="93" t="str">
        <x:f>IF($M126="","",INDEX('전체 WBS'!$AR$9:$AV$9,1,$O126))</x:f>
        <x:v>M5 유은혜</x:v>
      </x:c>
      <x:c r="B126" s="93" t="str">
        <x:f>IF($M126="","",IF(ISNUMBER(SEARCH($A126,INDEX('전체 WBS'!$D$1:$D$90,$N126))),"주담당","협업"))</x:f>
        <x:v>주담당</x:v>
      </x:c>
      <x:c r="C126" s="93" t="str">
        <x:f>IF($M126="","",INDEX('전체 WBS'!$A$1:$A$90,$N126))</x:f>
        <x:v>I34</x:v>
      </x:c>
      <x:c r="D126" s="93" t="str">
        <x:f>IF($M126="","",INDEX('전체 WBS'!$B$1:$B$90,$N126))</x:f>
        <x:v>인프라</x:v>
      </x:c>
      <x:c r="E126" s="93" t="str">
        <x:f>IF($M126="","",INDEX('전체 WBS'!$C$1:$C$90,$N126))</x:f>
        <x:v>캐나다 장비 구성·기본 통신 검증</x:v>
      </x:c>
      <x:c r="F126" s="94" t="str">
        <x:f>IF($M126="","",INDEX('전체 WBS'!$F$1:$F$90,$N126))</x:f>
        <x:v>46316</x:v>
      </x:c>
      <x:c r="G126" s="94" t="str">
        <x:f>IF($M126="","",INDEX('전체 WBS'!$G$1:$G$90,$N126))</x:f>
        <x:v>46323</x:v>
      </x:c>
      <x:c r="H126" s="95" t="str">
        <x:f>IF($M126="","",INDEX('전체 WBS'!$H$1:$H$90,$N126))</x:f>
        <x:v>미확인</x:v>
      </x:c>
      <x:c r="I126" s="93" t="str">
        <x:f>IF($M126="","",INDEX('전체 WBS'!$I$1:$I$90,$N126))</x:f>
        <x:v>I05, C6.1</x:v>
      </x:c>
      <x:c r="J126" s="93" t="str">
        <x:f>IF($M126="","",INDEX('전체 WBS'!$D$1:$D$90,$N126))</x:f>
        <x:v>M5 유은혜(PM)</x:v>
      </x:c>
      <x:c r="K126" s="93" t="str">
        <x:f>IF($M126="","",INDEX('전체 WBS'!$E$1:$E$90,$N126))</x:f>
        <x:v>—</x:v>
      </x:c>
      <x:c r="L126" s="100" t="str">
        <x:f>IF($M126="","",HYPERLINK(INDEX('전체 WBS'!$AW$1:$AW$90,$N126),"원문"))</x:f>
        <x:v>원문</x:v>
      </x:c>
      <x:c r="M126" s="4" t="n">
        <x:f>IF(119&lt;=COUNTIFS('전체 WBS'!$AR$10:$AV$90,"&lt;1000000000"),SMALL('전체 WBS'!$AR$10:$AV$90,119),"")</x:f>
        <x:v>546316022.0</x:v>
      </x:c>
      <x:c r="N126" s="4" t="n">
        <x:f>IF($M126="","",MOD($M126,1000))</x:f>
        <x:v>22.0</x:v>
      </x:c>
      <x:c r="O126" s="4" t="n">
        <x:f>IF($M126="","",INT($M126/100000000))</x:f>
        <x:v>5.0</x:v>
      </x:c>
    </x:row>
    <x:row r="127" ht="31" customHeight="1">
      <x:c r="A127" s="93" t="str">
        <x:f>IF($M127="","",INDEX('전체 WBS'!$AR$9:$AV$9,1,$O127))</x:f>
        <x:v>M5 유은혜</x:v>
      </x:c>
      <x:c r="B127" s="93" t="str">
        <x:f>IF($M127="","",IF(ISNUMBER(SEARCH($A127,INDEX('전체 WBS'!$D$1:$D$90,$N127))),"주담당","협업"))</x:f>
        <x:v>주담당</x:v>
      </x:c>
      <x:c r="C127" s="93" t="str">
        <x:f>IF($M127="","",INDEX('전체 WBS'!$A$1:$A$90,$N127))</x:f>
        <x:v>C12.1</x:v>
      </x:c>
      <x:c r="D127" s="93" t="str">
        <x:f>IF($M127="","",INDEX('전체 WBS'!$B$1:$B$90,$N127))</x:f>
        <x:v>공동·관리</x:v>
      </x:c>
      <x:c r="E127" s="93" t="str">
        <x:f>IF($M127="","",INDEX('전체 WBS'!$C$1:$C$90,$N127))</x:f>
        <x:v>AWS 권한·예산·API 연결 검토</x:v>
      </x:c>
      <x:c r="F127" s="94" t="str">
        <x:f>IF($M127="","",INDEX('전체 WBS'!$F$1:$F$90,$N127))</x:f>
        <x:v>46316</x:v>
      </x:c>
      <x:c r="G127" s="94" t="str">
        <x:f>IF($M127="","",INDEX('전체 WBS'!$G$1:$G$90,$N127))</x:f>
        <x:v>46318</x:v>
      </x:c>
      <x:c r="H127" s="95" t="str">
        <x:f>IF($M127="","",INDEX('전체 WBS'!$H$1:$H$90,$N127))</x:f>
        <x:v>미확인</x:v>
      </x:c>
      <x:c r="I127" s="93" t="str">
        <x:f>IF($M127="","",INDEX('전체 WBS'!$I$1:$I$90,$N127))</x:f>
        <x:v>C6.1</x:v>
      </x:c>
      <x:c r="J127" s="93" t="str">
        <x:f>IF($M127="","",INDEX('전체 WBS'!$D$1:$D$90,$N127))</x:f>
        <x:v>M5 유은혜(PM)</x:v>
      </x:c>
      <x:c r="K127" s="93" t="str">
        <x:f>IF($M127="","",INDEX('전체 WBS'!$E$1:$E$90,$N127))</x:f>
        <x:v>M1 유용수 · M3 홍은서
M4 박진혁</x:v>
      </x:c>
      <x:c r="L127" s="100" t="str">
        <x:f>IF($M127="","",HYPERLINK(INDEX('전체 WBS'!$AW$1:$AW$90,$N127),"원문"))</x:f>
        <x:v>원문</x:v>
      </x:c>
      <x:c r="M127" s="4" t="n">
        <x:f>IF(120&lt;=COUNTIFS('전체 WBS'!$AR$10:$AV$90,"&lt;1000000000"),SMALL('전체 WBS'!$AR$10:$AV$90,120),"")</x:f>
        <x:v>546316026.0</x:v>
      </x:c>
      <x:c r="N127" s="4" t="n">
        <x:f>IF($M127="","",MOD($M127,1000))</x:f>
        <x:v>26.0</x:v>
      </x:c>
      <x:c r="O127" s="4" t="n">
        <x:f>IF($M127="","",INT($M127/100000000))</x:f>
        <x:v>5.0</x:v>
      </x:c>
    </x:row>
    <x:row r="128" ht="31" customHeight="1">
      <x:c r="A128" s="93" t="str">
        <x:f>IF($M128="","",INDEX('전체 WBS'!$AR$9:$AV$9,1,$O128))</x:f>
        <x:v>M5 유은혜</x:v>
      </x:c>
      <x:c r="B128" s="93" t="str">
        <x:f>IF($M128="","",IF(ISNUMBER(SEARCH($A128,INDEX('전체 WBS'!$D$1:$D$90,$N128))),"주담당","협업"))</x:f>
        <x:v>주담당</x:v>
      </x:c>
      <x:c r="C128" s="93" t="str">
        <x:f>IF($M128="","",INDEX('전체 WBS'!$A$1:$A$90,$N128))</x:f>
        <x:v>D1</x:v>
      </x:c>
      <x:c r="D128" s="93" t="str">
        <x:f>IF($M128="","",INDEX('전체 WBS'!$B$1:$B$90,$N128))</x:f>
        <x:v>개발</x:v>
      </x:c>
      <x:c r="E128" s="93" t="str">
        <x:f>IF($M128="","",INDEX('전체 WBS'!$C$1:$C$90,$N128))</x:f>
        <x:v>실행 환경 정의·ERD·클래스 설계</x:v>
      </x:c>
      <x:c r="F128" s="94" t="str">
        <x:f>IF($M128="","",INDEX('전체 WBS'!$F$1:$F$90,$N128))</x:f>
        <x:v>46316</x:v>
      </x:c>
      <x:c r="G128" s="94" t="str">
        <x:f>IF($M128="","",INDEX('전체 WBS'!$G$1:$G$90,$N128))</x:f>
        <x:v>46318</x:v>
      </x:c>
      <x:c r="H128" s="95" t="str">
        <x:f>IF($M128="","",INDEX('전체 WBS'!$H$1:$H$90,$N128))</x:f>
        <x:v>미확인</x:v>
      </x:c>
      <x:c r="I128" s="93" t="str">
        <x:f>IF($M128="","",INDEX('전체 WBS'!$I$1:$I$90,$N128))</x:f>
        <x:v>—</x:v>
      </x:c>
      <x:c r="J128" s="93" t="str">
        <x:f>IF($M128="","",INDEX('전체 WBS'!$D$1:$D$90,$N128))</x:f>
        <x:v>M5 유은혜(PM)</x:v>
      </x:c>
      <x:c r="K128" s="93" t="str">
        <x:f>IF($M128="","",INDEX('전체 WBS'!$E$1:$E$90,$N128))</x:f>
        <x:v>M1 유용수 · M2 윤서영
M3 홍은서</x:v>
      </x:c>
      <x:c r="L128" s="100" t="str">
        <x:f>IF($M128="","",HYPERLINK(INDEX('전체 WBS'!$AW$1:$AW$90,$N128),"원문"))</x:f>
        <x:v>원문</x:v>
      </x:c>
      <x:c r="M128" s="4" t="n">
        <x:f>IF(121&lt;=COUNTIFS('전체 WBS'!$AR$10:$AV$90,"&lt;1000000000"),SMALL('전체 WBS'!$AR$10:$AV$90,121),"")</x:f>
        <x:v>546316030.0</x:v>
      </x:c>
      <x:c r="N128" s="4" t="n">
        <x:f>IF($M128="","",MOD($M128,1000))</x:f>
        <x:v>30.0</x:v>
      </x:c>
      <x:c r="O128" s="4" t="n">
        <x:f>IF($M128="","",INT($M128/100000000))</x:f>
        <x:v>5.0</x:v>
      </x:c>
    </x:row>
    <x:row r="129" ht="31" customHeight="1">
      <x:c r="A129" s="93" t="str">
        <x:f>IF($M129="","",INDEX('전체 WBS'!$AR$9:$AV$9,1,$O129))</x:f>
        <x:v>M5 유은혜</x:v>
      </x:c>
      <x:c r="B129" s="93" t="str">
        <x:f>IF($M129="","",IF(ISNUMBER(SEARCH($A129,INDEX('전체 WBS'!$D$1:$D$90,$N129))),"주담당","협업"))</x:f>
        <x:v>협업</x:v>
      </x:c>
      <x:c r="C129" s="93" t="str">
        <x:f>IF($M129="","",INDEX('전체 WBS'!$A$1:$A$90,$N129))</x:f>
        <x:v>C7</x:v>
      </x:c>
      <x:c r="D129" s="93" t="str">
        <x:f>IF($M129="","",INDEX('전체 WBS'!$B$1:$B$90,$N129))</x:f>
        <x:v>인프라</x:v>
      </x:c>
      <x:c r="E129" s="93" t="str">
        <x:f>IF($M129="","",INDEX('전체 WBS'!$C$1:$C$90,$N129))</x:f>
        <x:v>망 간 라우팅·VPN 구성 및 검증</x:v>
      </x:c>
      <x:c r="F129" s="94" t="str">
        <x:f>IF($M129="","",INDEX('전체 WBS'!$F$1:$F$90,$N129))</x:f>
        <x:v>46317</x:v>
      </x:c>
      <x:c r="G129" s="94" t="str">
        <x:f>IF($M129="","",INDEX('전체 WBS'!$G$1:$G$90,$N129))</x:f>
        <x:v>46323</x:v>
      </x:c>
      <x:c r="H129" s="95" t="str">
        <x:f>IF($M129="","",INDEX('전체 WBS'!$H$1:$H$90,$N129))</x:f>
        <x:v>미확인</x:v>
      </x:c>
      <x:c r="I129" s="93" t="str">
        <x:f>IF($M129="","",INDEX('전체 WBS'!$I$1:$I$90,$N129))</x:f>
        <x:v>C6.1, I14, I19, I24, I29, I34</x:v>
      </x:c>
      <x:c r="J129" s="93" t="str">
        <x:f>IF($M129="","",INDEX('전체 WBS'!$D$1:$D$90,$N129))</x:f>
        <x:v>M1 유용수</x:v>
      </x:c>
      <x:c r="K129" s="93" t="str">
        <x:f>IF($M129="","",INDEX('전체 WBS'!$E$1:$E$90,$N129))</x:f>
        <x:v>M2 윤서영 · M3 홍은서
M4 박진혁 · M5 유은혜</x:v>
      </x:c>
      <x:c r="L129" s="100" t="str">
        <x:f>IF($M129="","",HYPERLINK(INDEX('전체 WBS'!$AW$1:$AW$90,$N129),"원문"))</x:f>
        <x:v>원문</x:v>
      </x:c>
      <x:c r="M129" s="4" t="n">
        <x:f>IF(122&lt;=COUNTIFS('전체 WBS'!$AR$10:$AV$90,"&lt;1000000000"),SMALL('전체 WBS'!$AR$10:$AV$90,122),"")</x:f>
        <x:v>546317023.0</x:v>
      </x:c>
      <x:c r="N129" s="4" t="n">
        <x:f>IF($M129="","",MOD($M129,1000))</x:f>
        <x:v>23.0</x:v>
      </x:c>
      <x:c r="O129" s="4" t="n">
        <x:f>IF($M129="","",INT($M129/100000000))</x:f>
        <x:v>5.0</x:v>
      </x:c>
    </x:row>
    <x:row r="130" ht="31" customHeight="1">
      <x:c r="A130" s="93" t="str">
        <x:f>IF($M130="","",INDEX('전체 WBS'!$AR$9:$AV$9,1,$O130))</x:f>
        <x:v>M5 유은혜</x:v>
      </x:c>
      <x:c r="B130" s="93" t="str">
        <x:f>IF($M130="","",IF(ISNUMBER(SEARCH($A130,INDEX('전체 WBS'!$D$1:$D$90,$N130))),"주담당","협업"))</x:f>
        <x:v>주담당</x:v>
      </x:c>
      <x:c r="C130" s="93" t="str">
        <x:f>IF($M130="","",INDEX('전체 WBS'!$A$1:$A$90,$N130))</x:f>
        <x:v>D2</x:v>
      </x:c>
      <x:c r="D130" s="93" t="str">
        <x:f>IF($M130="","",INDEX('전체 WBS'!$B$1:$B$90,$N130))</x:f>
        <x:v>개발</x:v>
      </x:c>
      <x:c r="E130" s="93" t="str">
        <x:f>IF($M130="","",INDEX('전체 WBS'!$C$1:$C$90,$N130))</x:f>
        <x:v>한국·독일 공통 게시판 개발</x:v>
      </x:c>
      <x:c r="F130" s="94" t="str">
        <x:f>IF($M130="","",INDEX('전체 WBS'!$F$1:$F$90,$N130))</x:f>
        <x:v>46317</x:v>
      </x:c>
      <x:c r="G130" s="94" t="str">
        <x:f>IF($M130="","",INDEX('전체 WBS'!$G$1:$G$90,$N130))</x:f>
        <x:v>46318</x:v>
      </x:c>
      <x:c r="H130" s="95" t="str">
        <x:f>IF($M130="","",INDEX('전체 WBS'!$H$1:$H$90,$N130))</x:f>
        <x:v>미확인</x:v>
      </x:c>
      <x:c r="I130" s="93" t="str">
        <x:f>IF($M130="","",INDEX('전체 WBS'!$I$1:$I$90,$N130))</x:f>
        <x:v>D1</x:v>
      </x:c>
      <x:c r="J130" s="93" t="str">
        <x:f>IF($M130="","",INDEX('전체 WBS'!$D$1:$D$90,$N130))</x:f>
        <x:v>M5 유은혜(PM)</x:v>
      </x:c>
      <x:c r="K130" s="93" t="str">
        <x:f>IF($M130="","",INDEX('전체 WBS'!$E$1:$E$90,$N130))</x:f>
        <x:v>M1 유용수 · M2 윤서영</x:v>
      </x:c>
      <x:c r="L130" s="100" t="str">
        <x:f>IF($M130="","",HYPERLINK(INDEX('전체 WBS'!$AW$1:$AW$90,$N130),"원문"))</x:f>
        <x:v>원문</x:v>
      </x:c>
      <x:c r="M130" s="4" t="n">
        <x:f>IF(123&lt;=COUNTIFS('전체 WBS'!$AR$10:$AV$90,"&lt;1000000000"),SMALL('전체 WBS'!$AR$10:$AV$90,123),"")</x:f>
        <x:v>546317031.0</x:v>
      </x:c>
      <x:c r="N130" s="4" t="n">
        <x:f>IF($M130="","",MOD($M130,1000))</x:f>
        <x:v>31.0</x:v>
      </x:c>
      <x:c r="O130" s="4" t="n">
        <x:f>IF($M130="","",INT($M130/100000000))</x:f>
        <x:v>5.0</x:v>
      </x:c>
    </x:row>
    <x:row r="131" ht="31" customHeight="1">
      <x:c r="A131" s="93" t="str">
        <x:f>IF($M131="","",INDEX('전체 WBS'!$AR$9:$AV$9,1,$O131))</x:f>
        <x:v>M5 유은혜</x:v>
      </x:c>
      <x:c r="B131" s="93" t="str">
        <x:f>IF($M131="","",IF(ISNUMBER(SEARCH($A131,INDEX('전체 WBS'!$D$1:$D$90,$N131))),"주담당","협업"))</x:f>
        <x:v>주담당</x:v>
      </x:c>
      <x:c r="C131" s="93" t="str">
        <x:f>IF($M131="","",INDEX('전체 WBS'!$A$1:$A$90,$N131))</x:f>
        <x:v>D3</x:v>
      </x:c>
      <x:c r="D131" s="93" t="str">
        <x:f>IF($M131="","",INDEX('전체 WBS'!$B$1:$B$90,$N131))</x:f>
        <x:v>개발</x:v>
      </x:c>
      <x:c r="E131" s="93" t="str">
        <x:f>IF($M131="","",INDEX('전체 WBS'!$C$1:$C$90,$N131))</x:f>
        <x:v>OTT 로그인·목록·영상 재생 개발</x:v>
      </x:c>
      <x:c r="F131" s="94" t="str">
        <x:f>IF($M131="","",INDEX('전체 WBS'!$F$1:$F$90,$N131))</x:f>
        <x:v>46319</x:v>
      </x:c>
      <x:c r="G131" s="94" t="str">
        <x:f>IF($M131="","",INDEX('전체 WBS'!$G$1:$G$90,$N131))</x:f>
        <x:v>46323</x:v>
      </x:c>
      <x:c r="H131" s="95" t="str">
        <x:f>IF($M131="","",INDEX('전체 WBS'!$H$1:$H$90,$N131))</x:f>
        <x:v>미확인</x:v>
      </x:c>
      <x:c r="I131" s="93" t="str">
        <x:f>IF($M131="","",INDEX('전체 WBS'!$I$1:$I$90,$N131))</x:f>
        <x:v>D1</x:v>
      </x:c>
      <x:c r="J131" s="93" t="str">
        <x:f>IF($M131="","",INDEX('전체 WBS'!$D$1:$D$90,$N131))</x:f>
        <x:v>M5 유은혜(PM)</x:v>
      </x:c>
      <x:c r="K131" s="93" t="str">
        <x:f>IF($M131="","",INDEX('전체 WBS'!$E$1:$E$90,$N131))</x:f>
        <x:v>M3 홍은서</x:v>
      </x:c>
      <x:c r="L131" s="100" t="str">
        <x:f>IF($M131="","",HYPERLINK(INDEX('전체 WBS'!$AW$1:$AW$90,$N131),"원문"))</x:f>
        <x:v>원문</x:v>
      </x:c>
      <x:c r="M131" s="4" t="n">
        <x:f>IF(124&lt;=COUNTIFS('전체 WBS'!$AR$10:$AV$90,"&lt;1000000000"),SMALL('전체 WBS'!$AR$10:$AV$90,124),"")</x:f>
        <x:v>546319032.0</x:v>
      </x:c>
      <x:c r="N131" s="4" t="n">
        <x:f>IF($M131="","",MOD($M131,1000))</x:f>
        <x:v>32.0</x:v>
      </x:c>
      <x:c r="O131" s="4" t="n">
        <x:f>IF($M131="","",INT($M131/100000000))</x:f>
        <x:v>5.0</x:v>
      </x:c>
    </x:row>
    <x:row r="132" ht="31" customHeight="1">
      <x:c r="A132" s="93" t="str">
        <x:f>IF($M132="","",INDEX('전체 WBS'!$AR$9:$AV$9,1,$O132))</x:f>
        <x:v>M5 유은혜</x:v>
      </x:c>
      <x:c r="B132" s="93" t="str">
        <x:f>IF($M132="","",IF(ISNUMBER(SEARCH($A132,INDEX('전체 WBS'!$D$1:$D$90,$N132))),"주담당","협업"))</x:f>
        <x:v>주담당</x:v>
      </x:c>
      <x:c r="C132" s="93" t="str">
        <x:f>IF($M132="","",INDEX('전체 WBS'!$A$1:$A$90,$N132))</x:f>
        <x:v>C12.2</x:v>
      </x:c>
      <x:c r="D132" s="93" t="str">
        <x:f>IF($M132="","",INDEX('전체 WBS'!$B$1:$B$90,$N132))</x:f>
        <x:v>인프라</x:v>
      </x:c>
      <x:c r="E132" s="93" t="str">
        <x:f>IF($M132="","",INDEX('전체 WBS'!$C$1:$C$90,$N132))</x:f>
        <x:v>AWS 환경 구축·재구축 절차 작성</x:v>
      </x:c>
      <x:c r="F132" s="94" t="str">
        <x:f>IF($M132="","",INDEX('전체 WBS'!$F$1:$F$90,$N132))</x:f>
        <x:v>46321</x:v>
      </x:c>
      <x:c r="G132" s="94" t="str">
        <x:f>IF($M132="","",INDEX('전체 WBS'!$G$1:$G$90,$N132))</x:f>
        <x:v>46325</x:v>
      </x:c>
      <x:c r="H132" s="95" t="str">
        <x:f>IF($M132="","",INDEX('전체 WBS'!$H$1:$H$90,$N132))</x:f>
        <x:v>미확인</x:v>
      </x:c>
      <x:c r="I132" s="93" t="str">
        <x:f>IF($M132="","",INDEX('전체 WBS'!$I$1:$I$90,$N132))</x:f>
        <x:v>C12.1</x:v>
      </x:c>
      <x:c r="J132" s="93" t="str">
        <x:f>IF($M132="","",INDEX('전체 WBS'!$D$1:$D$90,$N132))</x:f>
        <x:v>M5 유은혜(PM)</x:v>
      </x:c>
      <x:c r="K132" s="93" t="str">
        <x:f>IF($M132="","",INDEX('전체 WBS'!$E$1:$E$90,$N132))</x:f>
        <x:v>M1 유용수 · M3 홍은서</x:v>
      </x:c>
      <x:c r="L132" s="100" t="str">
        <x:f>IF($M132="","",HYPERLINK(INDEX('전체 WBS'!$AW$1:$AW$90,$N132),"원문"))</x:f>
        <x:v>원문</x:v>
      </x:c>
      <x:c r="M132" s="4" t="n">
        <x:f>IF(125&lt;=COUNTIFS('전체 WBS'!$AR$10:$AV$90,"&lt;1000000000"),SMALL('전체 WBS'!$AR$10:$AV$90,125),"")</x:f>
        <x:v>546321027.0</x:v>
      </x:c>
      <x:c r="N132" s="4" t="n">
        <x:f>IF($M132="","",MOD($M132,1000))</x:f>
        <x:v>27.0</x:v>
      </x:c>
      <x:c r="O132" s="4" t="n">
        <x:f>IF($M132="","",INT($M132/100000000))</x:f>
        <x:v>5.0</x:v>
      </x:c>
    </x:row>
    <x:row r="133" ht="31" customHeight="1">
      <x:c r="A133" s="93" t="str">
        <x:f>IF($M133="","",INDEX('전체 WBS'!$AR$9:$AV$9,1,$O133))</x:f>
        <x:v>M5 유은혜</x:v>
      </x:c>
      <x:c r="B133" s="93" t="str">
        <x:f>IF($M133="","",IF(ISNUMBER(SEARCH($A133,INDEX('전체 WBS'!$D$1:$D$90,$N133))),"주담당","협업"))</x:f>
        <x:v>주담당</x:v>
      </x:c>
      <x:c r="C133" s="93" t="str">
        <x:f>IF($M133="","",INDEX('전체 WBS'!$A$1:$A$90,$N133))</x:f>
        <x:v>C6.2</x:v>
      </x:c>
      <x:c r="D133" s="93" t="str">
        <x:f>IF($M133="","",INDEX('전체 WBS'!$B$1:$B$90,$N133))</x:f>
        <x:v>공동·관리</x:v>
      </x:c>
      <x:c r="E133" s="93" t="str">
        <x:f>IF($M133="","",INDEX('전체 WBS'!$C$1:$C$90,$N133))</x:f>
        <x:v>집중 업무 공수·배포 인계 점검</x:v>
      </x:c>
      <x:c r="F133" s="94" t="str">
        <x:f>IF($M133="","",INDEX('전체 WBS'!$F$1:$F$90,$N133))</x:f>
        <x:v>46323</x:v>
      </x:c>
      <x:c r="G133" s="94" t="str">
        <x:f>IF($M133="","",INDEX('전체 WBS'!$G$1:$G$90,$N133))</x:f>
        <x:v>46325</x:v>
      </x:c>
      <x:c r="H133" s="95" t="str">
        <x:f>IF($M133="","",INDEX('전체 WBS'!$H$1:$H$90,$N133))</x:f>
        <x:v>미확인</x:v>
      </x:c>
      <x:c r="I133" s="93" t="str">
        <x:f>IF($M133="","",INDEX('전체 WBS'!$I$1:$I$90,$N133))</x:f>
        <x:v>D1, I24, C12.2</x:v>
      </x:c>
      <x:c r="J133" s="93" t="str">
        <x:f>IF($M133="","",INDEX('전체 WBS'!$D$1:$D$90,$N133))</x:f>
        <x:v>M5 유은혜(PM)</x:v>
      </x:c>
      <x:c r="K133" s="93" t="str">
        <x:f>IF($M133="","",INDEX('전체 WBS'!$E$1:$E$90,$N133))</x:f>
        <x:v>M3 홍은서 · M4 박진혁</x:v>
      </x:c>
      <x:c r="L133" s="100" t="str">
        <x:f>IF($M133="","",HYPERLINK(INDEX('전체 WBS'!$AW$1:$AW$90,$N133),"원문"))</x:f>
        <x:v>원문</x:v>
      </x:c>
      <x:c r="M133" s="4" t="n">
        <x:f>IF(126&lt;=COUNTIFS('전체 WBS'!$AR$10:$AV$90,"&lt;1000000000"),SMALL('전체 WBS'!$AR$10:$AV$90,126),"")</x:f>
        <x:v>546323028.0</x:v>
      </x:c>
      <x:c r="N133" s="4" t="n">
        <x:f>IF($M133="","",MOD($M133,1000))</x:f>
        <x:v>28.0</x:v>
      </x:c>
      <x:c r="O133" s="4" t="n">
        <x:f>IF($M133="","",INT($M133/100000000))</x:f>
        <x:v>5.0</x:v>
      </x:c>
    </x:row>
    <x:row r="134" ht="31" customHeight="1">
      <x:c r="A134" s="93" t="str">
        <x:f>IF($M134="","",INDEX('전체 WBS'!$AR$9:$AV$9,1,$O134))</x:f>
        <x:v>M5 유은혜</x:v>
      </x:c>
      <x:c r="B134" s="93" t="str">
        <x:f>IF($M134="","",IF(ISNUMBER(SEARCH($A134,INDEX('전체 WBS'!$D$1:$D$90,$N134))),"주담당","협업"))</x:f>
        <x:v>주담당</x:v>
      </x:c>
      <x:c r="C134" s="93" t="str">
        <x:f>IF($M134="","",INDEX('전체 WBS'!$A$1:$A$90,$N134))</x:f>
        <x:v>D6.1</x:v>
      </x:c>
      <x:c r="D134" s="93" t="str">
        <x:f>IF($M134="","",INDEX('전체 WBS'!$B$1:$B$90,$N134))</x:f>
        <x:v>개발</x:v>
      </x:c>
      <x:c r="E134" s="93" t="str">
        <x:f>IF($M134="","",INDEX('전체 WBS'!$C$1:$C$90,$N134))</x:f>
        <x:v>CI 구성·이미지·배포 저장소 준비</x:v>
      </x:c>
      <x:c r="F134" s="94" t="str">
        <x:f>IF($M134="","",INDEX('전체 WBS'!$F$1:$F$90,$N134))</x:f>
        <x:v>46323</x:v>
      </x:c>
      <x:c r="G134" s="94" t="str">
        <x:f>IF($M134="","",INDEX('전체 WBS'!$G$1:$G$90,$N134))</x:f>
        <x:v>46325</x:v>
      </x:c>
      <x:c r="H134" s="95" t="str">
        <x:f>IF($M134="","",INDEX('전체 WBS'!$H$1:$H$90,$N134))</x:f>
        <x:v>미확인</x:v>
      </x:c>
      <x:c r="I134" s="93" t="str">
        <x:f>IF($M134="","",INDEX('전체 WBS'!$I$1:$I$90,$N134))</x:f>
        <x:v>D1, D3</x:v>
      </x:c>
      <x:c r="J134" s="93" t="str">
        <x:f>IF($M134="","",INDEX('전체 WBS'!$D$1:$D$90,$N134))</x:f>
        <x:v>M5 유은혜(PM)</x:v>
      </x:c>
      <x:c r="K134" s="93" t="str">
        <x:f>IF($M134="","",INDEX('전체 WBS'!$E$1:$E$90,$N134))</x:f>
        <x:v>M3 홍은서</x:v>
      </x:c>
      <x:c r="L134" s="100" t="str">
        <x:f>IF($M134="","",HYPERLINK(INDEX('전체 WBS'!$AW$1:$AW$90,$N134),"원문"))</x:f>
        <x:v>원문</x:v>
      </x:c>
      <x:c r="M134" s="4" t="n">
        <x:f>IF(127&lt;=COUNTIFS('전체 WBS'!$AR$10:$AV$90,"&lt;1000000000"),SMALL('전체 WBS'!$AR$10:$AV$90,127),"")</x:f>
        <x:v>546323039.0</x:v>
      </x:c>
      <x:c r="N134" s="4" t="n">
        <x:f>IF($M134="","",MOD($M134,1000))</x:f>
        <x:v>39.0</x:v>
      </x:c>
      <x:c r="O134" s="4" t="n">
        <x:f>IF($M134="","",INT($M134/100000000))</x:f>
        <x:v>5.0</x:v>
      </x:c>
    </x:row>
    <x:row r="135" ht="31" customHeight="1">
      <x:c r="A135" s="93" t="str">
        <x:f>IF($M135="","",INDEX('전체 WBS'!$AR$9:$AV$9,1,$O135))</x:f>
        <x:v>M5 유은혜</x:v>
      </x:c>
      <x:c r="B135" s="93" t="str">
        <x:f>IF($M135="","",IF(ISNUMBER(SEARCH($A135,INDEX('전체 WBS'!$D$1:$D$90,$N135))),"주담당","협업"))</x:f>
        <x:v>협업</x:v>
      </x:c>
      <x:c r="C135" s="93" t="str">
        <x:f>IF($M135="","",INDEX('전체 WBS'!$A$1:$A$90,$N135))</x:f>
        <x:v>D4.1</x:v>
      </x:c>
      <x:c r="D135" s="93" t="str">
        <x:f>IF($M135="","",INDEX('전체 WBS'!$B$1:$B$90,$N135))</x:f>
        <x:v>개발</x:v>
      </x:c>
      <x:c r="E135" s="93" t="str">
        <x:f>IF($M135="","",INDEX('전체 WBS'!$C$1:$C$90,$N135))</x:f>
        <x:v>한국 게시판 서버 배포</x:v>
      </x:c>
      <x:c r="F135" s="94" t="str">
        <x:f>IF($M135="","",INDEX('전체 WBS'!$F$1:$F$90,$N135))</x:f>
        <x:v>46324</x:v>
      </x:c>
      <x:c r="G135" s="94" t="str">
        <x:f>IF($M135="","",INDEX('전체 WBS'!$G$1:$G$90,$N135))</x:f>
        <x:v>46325</x:v>
      </x:c>
      <x:c r="H135" s="95" t="str">
        <x:f>IF($M135="","",INDEX('전체 WBS'!$H$1:$H$90,$N135))</x:f>
        <x:v>미확인</x:v>
      </x:c>
      <x:c r="I135" s="93" t="str">
        <x:f>IF($M135="","",INDEX('전체 WBS'!$I$1:$I$90,$N135))</x:f>
        <x:v>D2, I14, C7</x:v>
      </x:c>
      <x:c r="J135" s="93" t="str">
        <x:f>IF($M135="","",INDEX('전체 WBS'!$D$1:$D$90,$N135))</x:f>
        <x:v>M1 유용수</x:v>
      </x:c>
      <x:c r="K135" s="93" t="str">
        <x:f>IF($M135="","",INDEX('전체 WBS'!$E$1:$E$90,$N135))</x:f>
        <x:v>M5 유은혜</x:v>
      </x:c>
      <x:c r="L135" s="100" t="str">
        <x:f>IF($M135="","",HYPERLINK(INDEX('전체 WBS'!$AW$1:$AW$90,$N135),"원문"))</x:f>
        <x:v>원문</x:v>
      </x:c>
      <x:c r="M135" s="4" t="n">
        <x:f>IF(128&lt;=COUNTIFS('전체 WBS'!$AR$10:$AV$90,"&lt;1000000000"),SMALL('전체 WBS'!$AR$10:$AV$90,128),"")</x:f>
        <x:v>546324033.0</x:v>
      </x:c>
      <x:c r="N135" s="4" t="n">
        <x:f>IF($M135="","",MOD($M135,1000))</x:f>
        <x:v>33.0</x:v>
      </x:c>
      <x:c r="O135" s="4" t="n">
        <x:f>IF($M135="","",INT($M135/100000000))</x:f>
        <x:v>5.0</x:v>
      </x:c>
    </x:row>
    <x:row r="136" ht="31" customHeight="1">
      <x:c r="A136" s="93" t="str">
        <x:f>IF($M136="","",INDEX('전체 WBS'!$AR$9:$AV$9,1,$O136))</x:f>
        <x:v>M5 유은혜</x:v>
      </x:c>
      <x:c r="B136" s="93" t="str">
        <x:f>IF($M136="","",IF(ISNUMBER(SEARCH($A136,INDEX('전체 WBS'!$D$1:$D$90,$N136))),"주담당","협업"))</x:f>
        <x:v>협업</x:v>
      </x:c>
      <x:c r="C136" s="93" t="str">
        <x:f>IF($M136="","",INDEX('전체 WBS'!$A$1:$A$90,$N136))</x:f>
        <x:v>D4.2</x:v>
      </x:c>
      <x:c r="D136" s="93" t="str">
        <x:f>IF($M136="","",INDEX('전체 WBS'!$B$1:$B$90,$N136))</x:f>
        <x:v>개발</x:v>
      </x:c>
      <x:c r="E136" s="93" t="str">
        <x:f>IF($M136="","",INDEX('전체 WBS'!$C$1:$C$90,$N136))</x:f>
        <x:v>독일 게시판 서버 배포</x:v>
      </x:c>
      <x:c r="F136" s="94" t="str">
        <x:f>IF($M136="","",INDEX('전체 WBS'!$F$1:$F$90,$N136))</x:f>
        <x:v>46324</x:v>
      </x:c>
      <x:c r="G136" s="94" t="str">
        <x:f>IF($M136="","",INDEX('전체 WBS'!$G$1:$G$90,$N136))</x:f>
        <x:v>46325</x:v>
      </x:c>
      <x:c r="H136" s="95" t="str">
        <x:f>IF($M136="","",INDEX('전체 WBS'!$H$1:$H$90,$N136))</x:f>
        <x:v>미확인</x:v>
      </x:c>
      <x:c r="I136" s="93" t="str">
        <x:f>IF($M136="","",INDEX('전체 WBS'!$I$1:$I$90,$N136))</x:f>
        <x:v>D2, I19, C7</x:v>
      </x:c>
      <x:c r="J136" s="93" t="str">
        <x:f>IF($M136="","",INDEX('전체 WBS'!$D$1:$D$90,$N136))</x:f>
        <x:v>M2 윤서영</x:v>
      </x:c>
      <x:c r="K136" s="93" t="str">
        <x:f>IF($M136="","",INDEX('전체 WBS'!$E$1:$E$90,$N136))</x:f>
        <x:v>M5 유은혜</x:v>
      </x:c>
      <x:c r="L136" s="100" t="str">
        <x:f>IF($M136="","",HYPERLINK(INDEX('전체 WBS'!$AW$1:$AW$90,$N136),"원문"))</x:f>
        <x:v>원문</x:v>
      </x:c>
      <x:c r="M136" s="4" t="n">
        <x:f>IF(129&lt;=COUNTIFS('전체 WBS'!$AR$10:$AV$90,"&lt;1000000000"),SMALL('전체 WBS'!$AR$10:$AV$90,129),"")</x:f>
        <x:v>546324034.0</x:v>
      </x:c>
      <x:c r="N136" s="4" t="n">
        <x:f>IF($M136="","",MOD($M136,1000))</x:f>
        <x:v>34.0</x:v>
      </x:c>
      <x:c r="O136" s="4" t="n">
        <x:f>IF($M136="","",INT($M136/100000000))</x:f>
        <x:v>5.0</x:v>
      </x:c>
    </x:row>
    <x:row r="137" ht="31" customHeight="1">
      <x:c r="A137" s="93" t="str">
        <x:f>IF($M137="","",INDEX('전체 WBS'!$AR$9:$AV$9,1,$O137))</x:f>
        <x:v>M5 유은혜</x:v>
      </x:c>
      <x:c r="B137" s="93" t="str">
        <x:f>IF($M137="","",IF(ISNUMBER(SEARCH($A137,INDEX('전체 WBS'!$D$1:$D$90,$N137))),"주담당","협업"))</x:f>
        <x:v>협업</x:v>
      </x:c>
      <x:c r="C137" s="93" t="str">
        <x:f>IF($M137="","",INDEX('전체 WBS'!$A$1:$A$90,$N137))</x:f>
        <x:v>D4.3</x:v>
      </x:c>
      <x:c r="D137" s="93" t="str">
        <x:f>IF($M137="","",INDEX('전체 WBS'!$B$1:$B$90,$N137))</x:f>
        <x:v>개발</x:v>
      </x:c>
      <x:c r="E137" s="93" t="str">
        <x:f>IF($M137="","",INDEX('전체 WBS'!$C$1:$C$90,$N137))</x:f>
        <x:v>한국 OTT 서버 배포</x:v>
      </x:c>
      <x:c r="F137" s="94" t="str">
        <x:f>IF($M137="","",INDEX('전체 WBS'!$F$1:$F$90,$N137))</x:f>
        <x:v>46324</x:v>
      </x:c>
      <x:c r="G137" s="94" t="str">
        <x:f>IF($M137="","",INDEX('전체 WBS'!$G$1:$G$90,$N137))</x:f>
        <x:v>46325</x:v>
      </x:c>
      <x:c r="H137" s="95" t="str">
        <x:f>IF($M137="","",INDEX('전체 WBS'!$H$1:$H$90,$N137))</x:f>
        <x:v>미확인</x:v>
      </x:c>
      <x:c r="I137" s="93" t="str">
        <x:f>IF($M137="","",INDEX('전체 WBS'!$I$1:$I$90,$N137))</x:f>
        <x:v>D3, I24</x:v>
      </x:c>
      <x:c r="J137" s="93" t="str">
        <x:f>IF($M137="","",INDEX('전체 WBS'!$D$1:$D$90,$N137))</x:f>
        <x:v>M3 홍은서(PL)</x:v>
      </x:c>
      <x:c r="K137" s="93" t="str">
        <x:f>IF($M137="","",INDEX('전체 WBS'!$E$1:$E$90,$N137))</x:f>
        <x:v>M5 유은혜</x:v>
      </x:c>
      <x:c r="L137" s="100" t="str">
        <x:f>IF($M137="","",HYPERLINK(INDEX('전체 WBS'!$AW$1:$AW$90,$N137),"원문"))</x:f>
        <x:v>원문</x:v>
      </x:c>
      <x:c r="M137" s="4" t="n">
        <x:f>IF(130&lt;=COUNTIFS('전체 WBS'!$AR$10:$AV$90,"&lt;1000000000"),SMALL('전체 WBS'!$AR$10:$AV$90,130),"")</x:f>
        <x:v>546324035.0</x:v>
      </x:c>
      <x:c r="N137" s="4" t="n">
        <x:f>IF($M137="","",MOD($M137,1000))</x:f>
        <x:v>35.0</x:v>
      </x:c>
      <x:c r="O137" s="4" t="n">
        <x:f>IF($M137="","",INT($M137/100000000))</x:f>
        <x:v>5.0</x:v>
      </x:c>
    </x:row>
    <x:row r="138" ht="31" customHeight="1">
      <x:c r="A138" s="93" t="str">
        <x:f>IF($M138="","",INDEX('전체 WBS'!$AR$9:$AV$9,1,$O138))</x:f>
        <x:v>M5 유은혜</x:v>
      </x:c>
      <x:c r="B138" s="93" t="str">
        <x:f>IF($M138="","",IF(ISNUMBER(SEARCH($A138,INDEX('전체 WBS'!$D$1:$D$90,$N138))),"주담당","협업"))</x:f>
        <x:v>주담당</x:v>
      </x:c>
      <x:c r="C138" s="93" t="str">
        <x:f>IF($M138="","",INDEX('전체 WBS'!$A$1:$A$90,$N138))</x:f>
        <x:v>D5.1</x:v>
      </x:c>
      <x:c r="D138" s="93" t="str">
        <x:f>IF($M138="","",INDEX('전체 WBS'!$B$1:$B$90,$N138))</x:f>
        <x:v>개발</x:v>
      </x:c>
      <x:c r="E138" s="93" t="str">
        <x:f>IF($M138="","",INDEX('전체 WBS'!$C$1:$C$90,$N138))</x:f>
        <x:v>Store 상품·모의 주문 개발</x:v>
      </x:c>
      <x:c r="F138" s="94" t="str">
        <x:f>IF($M138="","",INDEX('전체 WBS'!$F$1:$F$90,$N138))</x:f>
        <x:v>46324</x:v>
      </x:c>
      <x:c r="G138" s="94" t="str">
        <x:f>IF($M138="","",INDEX('전체 WBS'!$G$1:$G$90,$N138))</x:f>
        <x:v>46325</x:v>
      </x:c>
      <x:c r="H138" s="95" t="str">
        <x:f>IF($M138="","",INDEX('전체 WBS'!$H$1:$H$90,$N138))</x:f>
        <x:v>미확인</x:v>
      </x:c>
      <x:c r="I138" s="93" t="str">
        <x:f>IF($M138="","",INDEX('전체 WBS'!$I$1:$I$90,$N138))</x:f>
        <x:v>D1</x:v>
      </x:c>
      <x:c r="J138" s="93" t="str">
        <x:f>IF($M138="","",INDEX('전체 WBS'!$D$1:$D$90,$N138))</x:f>
        <x:v>M5 유은혜(PM)</x:v>
      </x:c>
      <x:c r="K138" s="93" t="str">
        <x:f>IF($M138="","",INDEX('전체 WBS'!$E$1:$E$90,$N138))</x:f>
        <x:v>—</x:v>
      </x:c>
      <x:c r="L138" s="100" t="str">
        <x:f>IF($M138="","",HYPERLINK(INDEX('전체 WBS'!$AW$1:$AW$90,$N138),"원문"))</x:f>
        <x:v>원문</x:v>
      </x:c>
      <x:c r="M138" s="4" t="n">
        <x:f>IF(131&lt;=COUNTIFS('전체 WBS'!$AR$10:$AV$90,"&lt;1000000000"),SMALL('전체 WBS'!$AR$10:$AV$90,131),"")</x:f>
        <x:v>546324036.0</x:v>
      </x:c>
      <x:c r="N138" s="4" t="n">
        <x:f>IF($M138="","",MOD($M138,1000))</x:f>
        <x:v>36.0</x:v>
      </x:c>
      <x:c r="O138" s="4" t="n">
        <x:f>IF($M138="","",INT($M138/100000000))</x:f>
        <x:v>5.0</x:v>
      </x:c>
    </x:row>
    <x:row r="139" ht="31" customHeight="1">
      <x:c r="A139" s="93" t="str">
        <x:f>IF($M139="","",INDEX('전체 WBS'!$AR$9:$AV$9,1,$O139))</x:f>
        <x:v>M5 유은혜</x:v>
      </x:c>
      <x:c r="B139" s="93" t="str">
        <x:f>IF($M139="","",IF(ISNUMBER(SEARCH($A139,INDEX('전체 WBS'!$D$1:$D$90,$N139))),"주담당","협업"))</x:f>
        <x:v>주담당</x:v>
      </x:c>
      <x:c r="C139" s="93" t="str">
        <x:f>IF($M139="","",INDEX('전체 WBS'!$A$1:$A$90,$N139))</x:f>
        <x:v>D5.2</x:v>
      </x:c>
      <x:c r="D139" s="93" t="str">
        <x:f>IF($M139="","",INDEX('전체 WBS'!$B$1:$B$90,$N139))</x:f>
        <x:v>개발</x:v>
      </x:c>
      <x:c r="E139" s="93" t="str">
        <x:f>IF($M139="","",INDEX('전체 WBS'!$C$1:$C$90,$N139))</x:f>
        <x:v>Store AWS 배포·서비스 연동</x:v>
      </x:c>
      <x:c r="F139" s="94" t="str">
        <x:f>IF($M139="","",INDEX('전체 WBS'!$F$1:$F$90,$N139))</x:f>
        <x:v>46326</x:v>
      </x:c>
      <x:c r="G139" s="94" t="str">
        <x:f>IF($M139="","",INDEX('전체 WBS'!$G$1:$G$90,$N139))</x:f>
        <x:v>46326</x:v>
      </x:c>
      <x:c r="H139" s="95" t="str">
        <x:f>IF($M139="","",INDEX('전체 WBS'!$H$1:$H$90,$N139))</x:f>
        <x:v>미확인</x:v>
      </x:c>
      <x:c r="I139" s="93" t="str">
        <x:f>IF($M139="","",INDEX('전체 WBS'!$I$1:$I$90,$N139))</x:f>
        <x:v>D5.1, C12.2</x:v>
      </x:c>
      <x:c r="J139" s="93" t="str">
        <x:f>IF($M139="","",INDEX('전체 WBS'!$D$1:$D$90,$N139))</x:f>
        <x:v>M5 유은혜(PM)</x:v>
      </x:c>
      <x:c r="K139" s="93" t="str">
        <x:f>IF($M139="","",INDEX('전체 WBS'!$E$1:$E$90,$N139))</x:f>
        <x:v>M3 홍은서 · M1 유용수</x:v>
      </x:c>
      <x:c r="L139" s="100" t="str">
        <x:f>IF($M139="","",HYPERLINK(INDEX('전체 WBS'!$AW$1:$AW$90,$N139),"원문"))</x:f>
        <x:v>원문</x:v>
      </x:c>
      <x:c r="M139" s="4" t="n">
        <x:f>IF(132&lt;=COUNTIFS('전체 WBS'!$AR$10:$AV$90,"&lt;1000000000"),SMALL('전체 WBS'!$AR$10:$AV$90,132),"")</x:f>
        <x:v>546326037.0</x:v>
      </x:c>
      <x:c r="N139" s="4" t="n">
        <x:f>IF($M139="","",MOD($M139,1000))</x:f>
        <x:v>37.0</x:v>
      </x:c>
      <x:c r="O139" s="4" t="n">
        <x:f>IF($M139="","",INT($M139/100000000))</x:f>
        <x:v>5.0</x:v>
      </x:c>
    </x:row>
    <x:row r="140" ht="31" customHeight="1">
      <x:c r="A140" s="93" t="str">
        <x:f>IF($M140="","",INDEX('전체 WBS'!$AR$9:$AV$9,1,$O140))</x:f>
        <x:v>M5 유은혜</x:v>
      </x:c>
      <x:c r="B140" s="93" t="str">
        <x:f>IF($M140="","",IF(ISNUMBER(SEARCH($A140,INDEX('전체 WBS'!$D$1:$D$90,$N140))),"주담당","협업"))</x:f>
        <x:v>주담당</x:v>
      </x:c>
      <x:c r="C140" s="93" t="str">
        <x:f>IF($M140="","",INDEX('전체 WBS'!$A$1:$A$90,$N140))</x:f>
        <x:v>D5.3</x:v>
      </x:c>
      <x:c r="D140" s="93" t="str">
        <x:f>IF($M140="","",INDEX('전체 WBS'!$B$1:$B$90,$N140))</x:f>
        <x:v>개발</x:v>
      </x:c>
      <x:c r="E140" s="93" t="str">
        <x:f>IF($M140="","",INDEX('전체 WBS'!$C$1:$C$90,$N140))</x:f>
        <x:v>Store 오류 분석·일정 영향 검토</x:v>
      </x:c>
      <x:c r="F140" s="94" t="str">
        <x:f>IF($M140="","",INDEX('전체 WBS'!$F$1:$F$90,$N140))</x:f>
        <x:v>46328</x:v>
      </x:c>
      <x:c r="G140" s="94" t="str">
        <x:f>IF($M140="","",INDEX('전체 WBS'!$G$1:$G$90,$N140))</x:f>
        <x:v>46328</x:v>
      </x:c>
      <x:c r="H140" s="95" t="str">
        <x:f>IF($M140="","",INDEX('전체 WBS'!$H$1:$H$90,$N140))</x:f>
        <x:v>미확인</x:v>
      </x:c>
      <x:c r="I140" s="93" t="str">
        <x:f>IF($M140="","",INDEX('전체 WBS'!$I$1:$I$90,$N140))</x:f>
        <x:v>D5.2</x:v>
      </x:c>
      <x:c r="J140" s="93" t="str">
        <x:f>IF($M140="","",INDEX('전체 WBS'!$D$1:$D$90,$N140))</x:f>
        <x:v>M5 유은혜(PM)</x:v>
      </x:c>
      <x:c r="K140" s="93" t="str">
        <x:f>IF($M140="","",INDEX('전체 WBS'!$E$1:$E$90,$N140))</x:f>
        <x:v>M3 홍은서</x:v>
      </x:c>
      <x:c r="L140" s="100" t="str">
        <x:f>IF($M140="","",HYPERLINK(INDEX('전체 WBS'!$AW$1:$AW$90,$N140),"원문"))</x:f>
        <x:v>원문</x:v>
      </x:c>
      <x:c r="M140" s="4" t="n">
        <x:f>IF(133&lt;=COUNTIFS('전체 WBS'!$AR$10:$AV$90,"&lt;1000000000"),SMALL('전체 WBS'!$AR$10:$AV$90,133),"")</x:f>
        <x:v>546328038.0</x:v>
      </x:c>
      <x:c r="N140" s="4" t="n">
        <x:f>IF($M140="","",MOD($M140,1000))</x:f>
        <x:v>38.0</x:v>
      </x:c>
      <x:c r="O140" s="4" t="n">
        <x:f>IF($M140="","",INT($M140/100000000))</x:f>
        <x:v>5.0</x:v>
      </x:c>
    </x:row>
    <x:row r="141" ht="31" customHeight="1">
      <x:c r="A141" s="93" t="str">
        <x:f>IF($M141="","",INDEX('전체 WBS'!$AR$9:$AV$9,1,$O141))</x:f>
        <x:v>M5 유은혜</x:v>
      </x:c>
      <x:c r="B141" s="93" t="str">
        <x:f>IF($M141="","",IF(ISNUMBER(SEARCH($A141,INDEX('전체 WBS'!$D$1:$D$90,$N141))),"주담당","협업"))</x:f>
        <x:v>주담당</x:v>
      </x:c>
      <x:c r="C141" s="93" t="str">
        <x:f>IF($M141="","",INDEX('전체 WBS'!$A$1:$A$90,$N141))</x:f>
        <x:v>D7</x:v>
      </x:c>
      <x:c r="D141" s="93" t="str">
        <x:f>IF($M141="","",INDEX('전체 WBS'!$B$1:$B$90,$N141))</x:f>
        <x:v>개발</x:v>
      </x:c>
      <x:c r="E141" s="93" t="str">
        <x:f>IF($M141="","",INDEX('전체 WBS'!$C$1:$C$90,$N141))</x:f>
        <x:v>AI 자막 생성·플레이어 기능 구현</x:v>
      </x:c>
      <x:c r="F141" s="94" t="str">
        <x:f>IF($M141="","",INDEX('전체 WBS'!$F$1:$F$90,$N141))</x:f>
        <x:v>46328</x:v>
      </x:c>
      <x:c r="G141" s="94" t="str">
        <x:f>IF($M141="","",INDEX('전체 WBS'!$G$1:$G$90,$N141))</x:f>
        <x:v>46330</x:v>
      </x:c>
      <x:c r="H141" s="95" t="str">
        <x:f>IF($M141="","",INDEX('전체 WBS'!$H$1:$H$90,$N141))</x:f>
        <x:v>미확인</x:v>
      </x:c>
      <x:c r="I141" s="93" t="str">
        <x:f>IF($M141="","",INDEX('전체 WBS'!$I$1:$I$90,$N141))</x:f>
        <x:v>I35, D1</x:v>
      </x:c>
      <x:c r="J141" s="93" t="str">
        <x:f>IF($M141="","",INDEX('전체 WBS'!$D$1:$D$90,$N141))</x:f>
        <x:v>M5 유은혜(PM)</x:v>
      </x:c>
      <x:c r="K141" s="93" t="str">
        <x:f>IF($M141="","",INDEX('전체 WBS'!$E$1:$E$90,$N141))</x:f>
        <x:v>M3 홍은서</x:v>
      </x:c>
      <x:c r="L141" s="100" t="str">
        <x:f>IF($M141="","",HYPERLINK(INDEX('전체 WBS'!$AW$1:$AW$90,$N141),"원문"))</x:f>
        <x:v>원문</x:v>
      </x:c>
      <x:c r="M141" s="4" t="n">
        <x:f>IF(134&lt;=COUNTIFS('전체 WBS'!$AR$10:$AV$90,"&lt;1000000000"),SMALL('전체 WBS'!$AR$10:$AV$90,134),"")</x:f>
        <x:v>546328042.0</x:v>
      </x:c>
      <x:c r="N141" s="4" t="n">
        <x:f>IF($M141="","",MOD($M141,1000))</x:f>
        <x:v>42.0</x:v>
      </x:c>
      <x:c r="O141" s="4" t="n">
        <x:f>IF($M141="","",INT($M141/100000000))</x:f>
        <x:v>5.0</x:v>
      </x:c>
    </x:row>
    <x:row r="142" ht="31" customHeight="1">
      <x:c r="A142" s="93" t="str">
        <x:f>IF($M142="","",INDEX('전체 WBS'!$AR$9:$AV$9,1,$O142))</x:f>
        <x:v>M5 유은혜</x:v>
      </x:c>
      <x:c r="B142" s="93" t="str">
        <x:f>IF($M142="","",IF(ISNUMBER(SEARCH($A142,INDEX('전체 WBS'!$D$1:$D$90,$N142))),"주담당","협업"))</x:f>
        <x:v>주담당</x:v>
      </x:c>
      <x:c r="C142" s="93" t="str">
        <x:f>IF($M142="","",INDEX('전체 WBS'!$A$1:$A$90,$N142))</x:f>
        <x:v>I35</x:v>
      </x:c>
      <x:c r="D142" s="93" t="str">
        <x:f>IF($M142="","",INDEX('전체 WBS'!$B$1:$B$90,$N142))</x:f>
        <x:v>보안·검증</x:v>
      </x:c>
      <x:c r="E142" s="93" t="str">
        <x:f>IF($M142="","",INDEX('전체 WBS'!$C$1:$C$90,$N142))</x:f>
        <x:v>S05 공격 재현·원인 분석</x:v>
      </x:c>
      <x:c r="F142" s="94" t="str">
        <x:f>IF($M142="","",INDEX('전체 WBS'!$F$1:$F$90,$N142))</x:f>
        <x:v>46328</x:v>
      </x:c>
      <x:c r="G142" s="94" t="str">
        <x:f>IF($M142="","",INDEX('전체 WBS'!$G$1:$G$90,$N142))</x:f>
        <x:v>46328</x:v>
      </x:c>
      <x:c r="H142" s="95" t="str">
        <x:f>IF($M142="","",INDEX('전체 WBS'!$H$1:$H$90,$N142))</x:f>
        <x:v>미확인</x:v>
      </x:c>
      <x:c r="I142" s="93" t="str">
        <x:f>IF($M142="","",INDEX('전체 WBS'!$I$1:$I$90,$N142))</x:f>
        <x:v>I34, I24, C7</x:v>
      </x:c>
      <x:c r="J142" s="93" t="str">
        <x:f>IF($M142="","",INDEX('전체 WBS'!$D$1:$D$90,$N142))</x:f>
        <x:v>M5 유은혜(PM)</x:v>
      </x:c>
      <x:c r="K142" s="93" t="str">
        <x:f>IF($M142="","",INDEX('전체 WBS'!$E$1:$E$90,$N142))</x:f>
        <x:v>M1 유용수 · M3 홍은서</x:v>
      </x:c>
      <x:c r="L142" s="100" t="str">
        <x:f>IF($M142="","",HYPERLINK(INDEX('전체 WBS'!$AW$1:$AW$90,$N142),"원문"))</x:f>
        <x:v>원문</x:v>
      </x:c>
      <x:c r="M142" s="4" t="n">
        <x:f>IF(135&lt;=COUNTIFS('전체 WBS'!$AR$10:$AV$90,"&lt;1000000000"),SMALL('전체 WBS'!$AR$10:$AV$90,135),"")</x:f>
        <x:v>546328050.0</x:v>
      </x:c>
      <x:c r="N142" s="4" t="n">
        <x:f>IF($M142="","",MOD($M142,1000))</x:f>
        <x:v>50.0</x:v>
      </x:c>
      <x:c r="O142" s="4" t="n">
        <x:f>IF($M142="","",INT($M142/100000000))</x:f>
        <x:v>5.0</x:v>
      </x:c>
    </x:row>
    <x:row r="143" ht="31" customHeight="1">
      <x:c r="A143" s="93" t="str">
        <x:f>IF($M143="","",INDEX('전체 WBS'!$AR$9:$AV$9,1,$O143))</x:f>
        <x:v>M5 유은혜</x:v>
      </x:c>
      <x:c r="B143" s="93" t="str">
        <x:f>IF($M143="","",IF(ISNUMBER(SEARCH($A143,INDEX('전체 WBS'!$D$1:$D$90,$N143))),"주담당","협업"))</x:f>
        <x:v>협업</x:v>
      </x:c>
      <x:c r="C143" s="93" t="str">
        <x:f>IF($M143="","",INDEX('전체 WBS'!$A$1:$A$90,$N143))</x:f>
        <x:v>C11.1</x:v>
      </x:c>
      <x:c r="D143" s="93" t="str">
        <x:f>IF($M143="","",INDEX('전체 WBS'!$B$1:$B$90,$N143))</x:f>
        <x:v>보안·검증</x:v>
      </x:c>
      <x:c r="E143" s="93" t="str">
        <x:f>IF($M143="","",INDEX('전체 WBS'!$C$1:$C$90,$N143))</x:f>
        <x:v>앱·노드·VIP 장애 시험 준비</x:v>
      </x:c>
      <x:c r="F143" s="94" t="str">
        <x:f>IF($M143="","",INDEX('전체 WBS'!$F$1:$F$90,$N143))</x:f>
        <x:v>46328</x:v>
      </x:c>
      <x:c r="G143" s="94" t="str">
        <x:f>IF($M143="","",INDEX('전체 WBS'!$G$1:$G$90,$N143))</x:f>
        <x:v>46329</x:v>
      </x:c>
      <x:c r="H143" s="95" t="str">
        <x:f>IF($M143="","",INDEX('전체 WBS'!$H$1:$H$90,$N143))</x:f>
        <x:v>미확인</x:v>
      </x:c>
      <x:c r="I143" s="93" t="str">
        <x:f>IF($M143="","",INDEX('전체 WBS'!$I$1:$I$90,$N143))</x:f>
        <x:v>I24, D4.3</x:v>
      </x:c>
      <x:c r="J143" s="93" t="str">
        <x:f>IF($M143="","",INDEX('전체 WBS'!$D$1:$D$90,$N143))</x:f>
        <x:v>M3 홍은서(PL)</x:v>
      </x:c>
      <x:c r="K143" s="93" t="str">
        <x:f>IF($M143="","",INDEX('전체 WBS'!$E$1:$E$90,$N143))</x:f>
        <x:v>M5 유은혜</x:v>
      </x:c>
      <x:c r="L143" s="100" t="str">
        <x:f>IF($M143="","",HYPERLINK(INDEX('전체 WBS'!$AW$1:$AW$90,$N143),"원문"))</x:f>
        <x:v>원문</x:v>
      </x:c>
      <x:c r="M143" s="4" t="n">
        <x:f>IF(136&lt;=COUNTIFS('전체 WBS'!$AR$10:$AV$90,"&lt;1000000000"),SMALL('전체 WBS'!$AR$10:$AV$90,136),"")</x:f>
        <x:v>546328051.0</x:v>
      </x:c>
      <x:c r="N143" s="4" t="n">
        <x:f>IF($M143="","",MOD($M143,1000))</x:f>
        <x:v>51.0</x:v>
      </x:c>
      <x:c r="O143" s="4" t="n">
        <x:f>IF($M143="","",INT($M143/100000000))</x:f>
        <x:v>5.0</x:v>
      </x:c>
    </x:row>
    <x:row r="144" ht="31" customHeight="1">
      <x:c r="A144" s="93" t="str">
        <x:f>IF($M144="","",INDEX('전체 WBS'!$AR$9:$AV$9,1,$O144))</x:f>
        <x:v>M5 유은혜</x:v>
      </x:c>
      <x:c r="B144" s="93" t="str">
        <x:f>IF($M144="","",IF(ISNUMBER(SEARCH($A144,INDEX('전체 WBS'!$D$1:$D$90,$N144))),"주담당","협업"))</x:f>
        <x:v>협업</x:v>
      </x:c>
      <x:c r="C144" s="93" t="str">
        <x:f>IF($M144="","",INDEX('전체 WBS'!$A$1:$A$90,$N144))</x:f>
        <x:v>I26.1</x:v>
      </x:c>
      <x:c r="D144" s="93" t="str">
        <x:f>IF($M144="","",INDEX('전체 WBS'!$B$1:$B$90,$N144))</x:f>
        <x:v>보안·검증</x:v>
      </x:c>
      <x:c r="E144" s="93" t="str">
        <x:f>IF($M144="","",INDEX('전체 WBS'!$C$1:$C$90,$N144))</x:f>
        <x:v>M3 TO-BE 토폴로지·보안 정책 설계</x:v>
      </x:c>
      <x:c r="F144" s="94" t="str">
        <x:f>IF($M144="","",INDEX('전체 WBS'!$F$1:$F$90,$N144))</x:f>
        <x:v>46329</x:v>
      </x:c>
      <x:c r="G144" s="94" t="str">
        <x:f>IF($M144="","",INDEX('전체 WBS'!$G$1:$G$90,$N144))</x:f>
        <x:v>46329</x:v>
      </x:c>
      <x:c r="H144" s="95" t="str">
        <x:f>IF($M144="","",INDEX('전체 WBS'!$H$1:$H$90,$N144))</x:f>
        <x:v>미확인</x:v>
      </x:c>
      <x:c r="I144" s="93" t="str">
        <x:f>IF($M144="","",INDEX('전체 WBS'!$I$1:$I$90,$N144))</x:f>
        <x:v>I25</x:v>
      </x:c>
      <x:c r="J144" s="93" t="str">
        <x:f>IF($M144="","",INDEX('전체 WBS'!$D$1:$D$90,$N144))</x:f>
        <x:v>M3 홍은서(PL)</x:v>
      </x:c>
      <x:c r="K144" s="93" t="str">
        <x:f>IF($M144="","",INDEX('전체 WBS'!$E$1:$E$90,$N144))</x:f>
        <x:v>M4 박진혁 · M5 유은혜</x:v>
      </x:c>
      <x:c r="L144" s="100" t="str">
        <x:f>IF($M144="","",HYPERLINK(INDEX('전체 WBS'!$AW$1:$AW$90,$N144),"원문"))</x:f>
        <x:v>원문</x:v>
      </x:c>
      <x:c r="M144" s="4" t="n">
        <x:f>IF(137&lt;=COUNTIFS('전체 WBS'!$AR$10:$AV$90,"&lt;1000000000"),SMALL('전체 WBS'!$AR$10:$AV$90,137),"")</x:f>
        <x:v>546329055.0</x:v>
      </x:c>
      <x:c r="N144" s="4" t="n">
        <x:f>IF($M144="","",MOD($M144,1000))</x:f>
        <x:v>55.0</x:v>
      </x:c>
      <x:c r="O144" s="4" t="n">
        <x:f>IF($M144="","",INT($M144/100000000))</x:f>
        <x:v>5.0</x:v>
      </x:c>
    </x:row>
    <x:row r="145" ht="31" customHeight="1">
      <x:c r="A145" s="93" t="str">
        <x:f>IF($M145="","",INDEX('전체 WBS'!$AR$9:$AV$9,1,$O145))</x:f>
        <x:v>M5 유은혜</x:v>
      </x:c>
      <x:c r="B145" s="93" t="str">
        <x:f>IF($M145="","",IF(ISNUMBER(SEARCH($A145,INDEX('전체 WBS'!$D$1:$D$90,$N145))),"주담당","협업"))</x:f>
        <x:v>주담당</x:v>
      </x:c>
      <x:c r="C145" s="93" t="str">
        <x:f>IF($M145="","",INDEX('전체 WBS'!$A$1:$A$90,$N145))</x:f>
        <x:v>I36.1</x:v>
      </x:c>
      <x:c r="D145" s="93" t="str">
        <x:f>IF($M145="","",INDEX('전체 WBS'!$B$1:$B$90,$N145))</x:f>
        <x:v>보안·검증</x:v>
      </x:c>
      <x:c r="E145" s="93" t="str">
        <x:f>IF($M145="","",INDEX('전체 WBS'!$C$1:$C$90,$N145))</x:f>
        <x:v>M5 TO-BE 토폴로지·보안 정책 설계</x:v>
      </x:c>
      <x:c r="F145" s="94" t="str">
        <x:f>IF($M145="","",INDEX('전체 WBS'!$F$1:$F$90,$N145))</x:f>
        <x:v>46329</x:v>
      </x:c>
      <x:c r="G145" s="94" t="str">
        <x:f>IF($M145="","",INDEX('전체 WBS'!$G$1:$G$90,$N145))</x:f>
        <x:v>46329</x:v>
      </x:c>
      <x:c r="H145" s="95" t="str">
        <x:f>IF($M145="","",INDEX('전체 WBS'!$H$1:$H$90,$N145))</x:f>
        <x:v>미확인</x:v>
      </x:c>
      <x:c r="I145" s="93" t="str">
        <x:f>IF($M145="","",INDEX('전체 WBS'!$I$1:$I$90,$N145))</x:f>
        <x:v>I35</x:v>
      </x:c>
      <x:c r="J145" s="93" t="str">
        <x:f>IF($M145="","",INDEX('전체 WBS'!$D$1:$D$90,$N145))</x:f>
        <x:v>M5 유은혜(PM)</x:v>
      </x:c>
      <x:c r="K145" s="93" t="str">
        <x:f>IF($M145="","",INDEX('전체 WBS'!$E$1:$E$90,$N145))</x:f>
        <x:v>M3 홍은서</x:v>
      </x:c>
      <x:c r="L145" s="100" t="str">
        <x:f>IF($M145="","",HYPERLINK(INDEX('전체 WBS'!$AW$1:$AW$90,$N145),"원문"))</x:f>
        <x:v>원문</x:v>
      </x:c>
      <x:c r="M145" s="4" t="n">
        <x:f>IF(138&lt;=COUNTIFS('전체 WBS'!$AR$10:$AV$90,"&lt;1000000000"),SMALL('전체 WBS'!$AR$10:$AV$90,138),"")</x:f>
        <x:v>546329057.0</x:v>
      </x:c>
      <x:c r="N145" s="4" t="n">
        <x:f>IF($M145="","",MOD($M145,1000))</x:f>
        <x:v>57.0</x:v>
      </x:c>
      <x:c r="O145" s="4" t="n">
        <x:f>IF($M145="","",INT($M145/100000000))</x:f>
        <x:v>5.0</x:v>
      </x:c>
    </x:row>
    <x:row r="146" ht="31" customHeight="1">
      <x:c r="A146" s="93" t="str">
        <x:f>IF($M146="","",INDEX('전체 WBS'!$AR$9:$AV$9,1,$O146))</x:f>
        <x:v>M5 유은혜</x:v>
      </x:c>
      <x:c r="B146" s="93" t="str">
        <x:f>IF($M146="","",IF(ISNUMBER(SEARCH($A146,INDEX('전체 WBS'!$D$1:$D$90,$N146))),"주담당","협업"))</x:f>
        <x:v>주담당</x:v>
      </x:c>
      <x:c r="C146" s="93" t="str">
        <x:f>IF($M146="","",INDEX('전체 WBS'!$A$1:$A$90,$N146))</x:f>
        <x:v>D6.2</x:v>
      </x:c>
      <x:c r="D146" s="93" t="str">
        <x:f>IF($M146="","",INDEX('전체 WBS'!$B$1:$B$90,$N146))</x:f>
        <x:v>개발</x:v>
      </x:c>
      <x:c r="E146" s="93" t="str">
        <x:f>IF($M146="","",INDEX('전체 WBS'!$C$1:$C$90,$N146))</x:f>
        <x:v>한국 CD 구성·AI 서비스 배포</x:v>
      </x:c>
      <x:c r="F146" s="94" t="str">
        <x:f>IF($M146="","",INDEX('전체 WBS'!$F$1:$F$90,$N146))</x:f>
        <x:v>46330</x:v>
      </x:c>
      <x:c r="G146" s="94" t="str">
        <x:f>IF($M146="","",INDEX('전체 WBS'!$G$1:$G$90,$N146))</x:f>
        <x:v>46330</x:v>
      </x:c>
      <x:c r="H146" s="95" t="str">
        <x:f>IF($M146="","",INDEX('전체 WBS'!$H$1:$H$90,$N146))</x:f>
        <x:v>미확인</x:v>
      </x:c>
      <x:c r="I146" s="93" t="str">
        <x:f>IF($M146="","",INDEX('전체 WBS'!$I$1:$I$90,$N146))</x:f>
        <x:v>D6.1, I26.2, D7</x:v>
      </x:c>
      <x:c r="J146" s="93" t="str">
        <x:f>IF($M146="","",INDEX('전체 WBS'!$D$1:$D$90,$N146))</x:f>
        <x:v>M5 유은혜(PM)</x:v>
      </x:c>
      <x:c r="K146" s="93" t="str">
        <x:f>IF($M146="","",INDEX('전체 WBS'!$E$1:$E$90,$N146))</x:f>
        <x:v>M3 홍은서</x:v>
      </x:c>
      <x:c r="L146" s="100" t="str">
        <x:f>IF($M146="","",HYPERLINK(INDEX('전체 WBS'!$AW$1:$AW$90,$N146),"원문"))</x:f>
        <x:v>원문</x:v>
      </x:c>
      <x:c r="M146" s="4" t="n">
        <x:f>IF(139&lt;=COUNTIFS('전체 WBS'!$AR$10:$AV$90,"&lt;1000000000"),SMALL('전체 WBS'!$AR$10:$AV$90,139),"")</x:f>
        <x:v>546330040.0</x:v>
      </x:c>
      <x:c r="N146" s="4" t="n">
        <x:f>IF($M146="","",MOD($M146,1000))</x:f>
        <x:v>40.0</x:v>
      </x:c>
      <x:c r="O146" s="4" t="n">
        <x:f>IF($M146="","",INT($M146/100000000))</x:f>
        <x:v>5.0</x:v>
      </x:c>
    </x:row>
    <x:row r="147" ht="31" customHeight="1">
      <x:c r="A147" s="93" t="str">
        <x:f>IF($M147="","",INDEX('전체 WBS'!$AR$9:$AV$9,1,$O147))</x:f>
        <x:v>M5 유은혜</x:v>
      </x:c>
      <x:c r="B147" s="93" t="str">
        <x:f>IF($M147="","",IF(ISNUMBER(SEARCH($A147,INDEX('전체 WBS'!$D$1:$D$90,$N147))),"주담당","협업"))</x:f>
        <x:v>협업</x:v>
      </x:c>
      <x:c r="C147" s="93" t="str">
        <x:f>IF($M147="","",INDEX('전체 WBS'!$A$1:$A$90,$N147))</x:f>
        <x:v>I26.2</x:v>
      </x:c>
      <x:c r="D147" s="93" t="str">
        <x:f>IF($M147="","",INDEX('전체 WBS'!$B$1:$B$90,$N147))</x:f>
        <x:v>보안·검증</x:v>
      </x:c>
      <x:c r="E147" s="93" t="str">
        <x:f>IF($M147="","",INDEX('전체 WBS'!$C$1:$C$90,$N147))</x:f>
        <x:v>S03·S05 접근제어·앱 부하 분산 적용</x:v>
      </x:c>
      <x:c r="F147" s="94" t="str">
        <x:f>IF($M147="","",INDEX('전체 WBS'!$F$1:$F$90,$N147))</x:f>
        <x:v>46330</x:v>
      </x:c>
      <x:c r="G147" s="94" t="str">
        <x:f>IF($M147="","",INDEX('전체 WBS'!$G$1:$G$90,$N147))</x:f>
        <x:v>46330</x:v>
      </x:c>
      <x:c r="H147" s="95" t="str">
        <x:f>IF($M147="","",INDEX('전체 WBS'!$H$1:$H$90,$N147))</x:f>
        <x:v>미확인</x:v>
      </x:c>
      <x:c r="I147" s="93" t="str">
        <x:f>IF($M147="","",INDEX('전체 WBS'!$I$1:$I$90,$N147))</x:f>
        <x:v>I26.1, I36.1</x:v>
      </x:c>
      <x:c r="J147" s="93" t="str">
        <x:f>IF($M147="","",INDEX('전체 WBS'!$D$1:$D$90,$N147))</x:f>
        <x:v>M3 홍은서(PL)</x:v>
      </x:c>
      <x:c r="K147" s="93" t="str">
        <x:f>IF($M147="","",INDEX('전체 WBS'!$E$1:$E$90,$N147))</x:f>
        <x:v>M5 유은혜</x:v>
      </x:c>
      <x:c r="L147" s="100" t="str">
        <x:f>IF($M147="","",HYPERLINK(INDEX('전체 WBS'!$AW$1:$AW$90,$N147),"원문"))</x:f>
        <x:v>원문</x:v>
      </x:c>
      <x:c r="M147" s="4" t="n">
        <x:f>IF(140&lt;=COUNTIFS('전체 WBS'!$AR$10:$AV$90,"&lt;1000000000"),SMALL('전체 WBS'!$AR$10:$AV$90,140),"")</x:f>
        <x:v>546330061.0</x:v>
      </x:c>
      <x:c r="N147" s="4" t="n">
        <x:f>IF($M147="","",MOD($M147,1000))</x:f>
        <x:v>61.0</x:v>
      </x:c>
      <x:c r="O147" s="4" t="n">
        <x:f>IF($M147="","",INT($M147/100000000))</x:f>
        <x:v>5.0</x:v>
      </x:c>
    </x:row>
    <x:row r="148" ht="31" customHeight="1">
      <x:c r="A148" s="93" t="str">
        <x:f>IF($M148="","",INDEX('전체 WBS'!$AR$9:$AV$9,1,$O148))</x:f>
        <x:v>M5 유은혜</x:v>
      </x:c>
      <x:c r="B148" s="93" t="str">
        <x:f>IF($M148="","",IF(ISNUMBER(SEARCH($A148,INDEX('전체 WBS'!$D$1:$D$90,$N148))),"주담당","협업"))</x:f>
        <x:v>주담당</x:v>
      </x:c>
      <x:c r="C148" s="93" t="str">
        <x:f>IF($M148="","",INDEX('전체 WBS'!$A$1:$A$90,$N148))</x:f>
        <x:v>D6.3</x:v>
      </x:c>
      <x:c r="D148" s="93" t="str">
        <x:f>IF($M148="","",INDEX('전체 WBS'!$B$1:$B$90,$N148))</x:f>
        <x:v>개발</x:v>
      </x:c>
      <x:c r="E148" s="93" t="str">
        <x:f>IF($M148="","",INDEX('전체 WBS'!$C$1:$C$90,$N148))</x:f>
        <x:v>Store CD 구성·자동 배포</x:v>
      </x:c>
      <x:c r="F148" s="94" t="str">
        <x:f>IF($M148="","",INDEX('전체 WBS'!$F$1:$F$90,$N148))</x:f>
        <x:v>46331</x:v>
      </x:c>
      <x:c r="G148" s="94" t="str">
        <x:f>IF($M148="","",INDEX('전체 WBS'!$G$1:$G$90,$N148))</x:f>
        <x:v>46331</x:v>
      </x:c>
      <x:c r="H148" s="95" t="str">
        <x:f>IF($M148="","",INDEX('전체 WBS'!$H$1:$H$90,$N148))</x:f>
        <x:v>미확인</x:v>
      </x:c>
      <x:c r="I148" s="93" t="str">
        <x:f>IF($M148="","",INDEX('전체 WBS'!$I$1:$I$90,$N148))</x:f>
        <x:v>D6.1, D5.2</x:v>
      </x:c>
      <x:c r="J148" s="93" t="str">
        <x:f>IF($M148="","",INDEX('전체 WBS'!$D$1:$D$90,$N148))</x:f>
        <x:v>M5 유은혜(PM)</x:v>
      </x:c>
      <x:c r="K148" s="93" t="str">
        <x:f>IF($M148="","",INDEX('전체 WBS'!$E$1:$E$90,$N148))</x:f>
        <x:v>—</x:v>
      </x:c>
      <x:c r="L148" s="100" t="str">
        <x:f>IF($M148="","",HYPERLINK(INDEX('전체 WBS'!$AW$1:$AW$90,$N148),"원문"))</x:f>
        <x:v>원문</x:v>
      </x:c>
      <x:c r="M148" s="4" t="n">
        <x:f>IF(141&lt;=COUNTIFS('전체 WBS'!$AR$10:$AV$90,"&lt;1000000000"),SMALL('전체 WBS'!$AR$10:$AV$90,141),"")</x:f>
        <x:v>546331041.0</x:v>
      </x:c>
      <x:c r="N148" s="4" t="n">
        <x:f>IF($M148="","",MOD($M148,1000))</x:f>
        <x:v>41.0</x:v>
      </x:c>
      <x:c r="O148" s="4" t="n">
        <x:f>IF($M148="","",INT($M148/100000000))</x:f>
        <x:v>5.0</x:v>
      </x:c>
    </x:row>
    <x:row r="149" ht="31" customHeight="1">
      <x:c r="A149" s="93" t="str">
        <x:f>IF($M149="","",INDEX('전체 WBS'!$AR$9:$AV$9,1,$O149))</x:f>
        <x:v>M5 유은혜</x:v>
      </x:c>
      <x:c r="B149" s="93" t="str">
        <x:f>IF($M149="","",IF(ISNUMBER(SEARCH($A149,INDEX('전체 WBS'!$D$1:$D$90,$N149))),"주담당","협업"))</x:f>
        <x:v>주담당</x:v>
      </x:c>
      <x:c r="C149" s="93" t="str">
        <x:f>IF($M149="","",INDEX('전체 WBS'!$A$1:$A$90,$N149))</x:f>
        <x:v>C8</x:v>
      </x:c>
      <x:c r="D149" s="93" t="str">
        <x:f>IF($M149="","",INDEX('전체 WBS'!$B$1:$B$90,$N149))</x:f>
        <x:v>개발</x:v>
      </x:c>
      <x:c r="E149" s="93" t="str">
        <x:f>IF($M149="","",INDEX('전체 WBS'!$C$1:$C$90,$N149))</x:f>
        <x:v>앱·AI·CI/CD 통합 테스트</x:v>
      </x:c>
      <x:c r="F149" s="94" t="str">
        <x:f>IF($M149="","",INDEX('전체 WBS'!$F$1:$F$90,$N149))</x:f>
        <x:v>46332</x:v>
      </x:c>
      <x:c r="G149" s="94" t="str">
        <x:f>IF($M149="","",INDEX('전체 WBS'!$G$1:$G$90,$N149))</x:f>
        <x:v>46332</x:v>
      </x:c>
      <x:c r="H149" s="95" t="str">
        <x:f>IF($M149="","",INDEX('전체 WBS'!$H$1:$H$90,$N149))</x:f>
        <x:v>미확인</x:v>
      </x:c>
      <x:c r="I149" s="93" t="str">
        <x:f>IF($M149="","",INDEX('전체 WBS'!$I$1:$I$90,$N149))</x:f>
        <x:v>D4.1, D4.2, D4.3, D5.3, D6.2, D6.3, D7</x:v>
      </x:c>
      <x:c r="J149" s="93" t="str">
        <x:f>IF($M149="","",INDEX('전체 WBS'!$D$1:$D$90,$N149))</x:f>
        <x:v>M5 유은혜(PM)</x:v>
      </x:c>
      <x:c r="K149" s="93" t="str">
        <x:f>IF($M149="","",INDEX('전체 WBS'!$E$1:$E$90,$N149))</x:f>
        <x:v>M1 유용수 · M2 윤서영
M3 홍은서</x:v>
      </x:c>
      <x:c r="L149" s="100" t="str">
        <x:f>IF($M149="","",HYPERLINK(INDEX('전체 WBS'!$AW$1:$AW$90,$N149),"원문"))</x:f>
        <x:v>원문</x:v>
      </x:c>
      <x:c r="M149" s="4" t="n">
        <x:f>IF(142&lt;=COUNTIFS('전체 WBS'!$AR$10:$AV$90,"&lt;1000000000"),SMALL('전체 WBS'!$AR$10:$AV$90,142),"")</x:f>
        <x:v>546332043.0</x:v>
      </x:c>
      <x:c r="N149" s="4" t="n">
        <x:f>IF($M149="","",MOD($M149,1000))</x:f>
        <x:v>43.0</x:v>
      </x:c>
      <x:c r="O149" s="4" t="n">
        <x:f>IF($M149="","",INT($M149/100000000))</x:f>
        <x:v>5.0</x:v>
      </x:c>
    </x:row>
    <x:row r="150" ht="31" customHeight="1">
      <x:c r="A150" s="93" t="str">
        <x:f>IF($M150="","",INDEX('전체 WBS'!$AR$9:$AV$9,1,$O150))</x:f>
        <x:v>M5 유은혜</x:v>
      </x:c>
      <x:c r="B150" s="93" t="str">
        <x:f>IF($M150="","",IF(ISNUMBER(SEARCH($A150,INDEX('전체 WBS'!$D$1:$D$90,$N150))),"주담당","협업"))</x:f>
        <x:v>협업</x:v>
      </x:c>
      <x:c r="C150" s="93" t="str">
        <x:f>IF($M150="","",INDEX('전체 WBS'!$A$1:$A$90,$N150))</x:f>
        <x:v>I26.4</x:v>
      </x:c>
      <x:c r="D150" s="93" t="str">
        <x:f>IF($M150="","",INDEX('전체 WBS'!$B$1:$B$90,$N150))</x:f>
        <x:v>보안·검증</x:v>
      </x:c>
      <x:c r="E150" s="93" t="str">
        <x:f>IF($M150="","",INDEX('전체 WBS'!$C$1:$C$90,$N150))</x:f>
        <x:v>M3 개선 설정 통합 검증</x:v>
      </x:c>
      <x:c r="F150" s="94" t="str">
        <x:f>IF($M150="","",INDEX('전체 WBS'!$F$1:$F$90,$N150))</x:f>
        <x:v>46332</x:v>
      </x:c>
      <x:c r="G150" s="94" t="str">
        <x:f>IF($M150="","",INDEX('전체 WBS'!$G$1:$G$90,$N150))</x:f>
        <x:v>46332</x:v>
      </x:c>
      <x:c r="H150" s="95" t="str">
        <x:f>IF($M150="","",INDEX('전체 WBS'!$H$1:$H$90,$N150))</x:f>
        <x:v>미확인</x:v>
      </x:c>
      <x:c r="I150" s="93" t="str">
        <x:f>IF($M150="","",INDEX('전체 WBS'!$I$1:$I$90,$N150))</x:f>
        <x:v>I26.2, I26.3, D6.2, D7</x:v>
      </x:c>
      <x:c r="J150" s="93" t="str">
        <x:f>IF($M150="","",INDEX('전체 WBS'!$D$1:$D$90,$N150))</x:f>
        <x:v>M3 홍은서(PL)</x:v>
      </x:c>
      <x:c r="K150" s="93" t="str">
        <x:f>IF($M150="","",INDEX('전체 WBS'!$E$1:$E$90,$N150))</x:f>
        <x:v>M5 유은혜</x:v>
      </x:c>
      <x:c r="L150" s="100" t="str">
        <x:f>IF($M150="","",HYPERLINK(INDEX('전체 WBS'!$AW$1:$AW$90,$N150),"원문"))</x:f>
        <x:v>원문</x:v>
      </x:c>
      <x:c r="M150" s="4" t="n">
        <x:f>IF(143&lt;=COUNTIFS('전체 WBS'!$AR$10:$AV$90,"&lt;1000000000"),SMALL('전체 WBS'!$AR$10:$AV$90,143),"")</x:f>
        <x:v>546332069.0</x:v>
      </x:c>
      <x:c r="N150" s="4" t="n">
        <x:f>IF($M150="","",MOD($M150,1000))</x:f>
        <x:v>69.0</x:v>
      </x:c>
      <x:c r="O150" s="4" t="n">
        <x:f>IF($M150="","",INT($M150/100000000))</x:f>
        <x:v>5.0</x:v>
      </x:c>
    </x:row>
    <x:row r="151" ht="31" customHeight="1">
      <x:c r="A151" s="93" t="str">
        <x:f>IF($M151="","",INDEX('전체 WBS'!$AR$9:$AV$9,1,$O151))</x:f>
        <x:v>M5 유은혜</x:v>
      </x:c>
      <x:c r="B151" s="93" t="str">
        <x:f>IF($M151="","",IF(ISNUMBER(SEARCH($A151,INDEX('전체 WBS'!$D$1:$D$90,$N151))),"주담당","협업"))</x:f>
        <x:v>주담당</x:v>
      </x:c>
      <x:c r="C151" s="93" t="str">
        <x:f>IF($M151="","",INDEX('전체 WBS'!$A$1:$A$90,$N151))</x:f>
        <x:v>I36.2</x:v>
      </x:c>
      <x:c r="D151" s="93" t="str">
        <x:f>IF($M151="","",INDEX('전체 WBS'!$B$1:$B$90,$N151))</x:f>
        <x:v>보안·검증</x:v>
      </x:c>
      <x:c r="E151" s="93" t="str">
        <x:f>IF($M151="","",INDEX('전체 WBS'!$C$1:$C$90,$N151))</x:f>
        <x:v>S05 접근제어·캐나다 통신 경로 검증</x:v>
      </x:c>
      <x:c r="F151" s="94" t="str">
        <x:f>IF($M151="","",INDEX('전체 WBS'!$F$1:$F$90,$N151))</x:f>
        <x:v>46332</x:v>
      </x:c>
      <x:c r="G151" s="94" t="str">
        <x:f>IF($M151="","",INDEX('전체 WBS'!$G$1:$G$90,$N151))</x:f>
        <x:v>46332</x:v>
      </x:c>
      <x:c r="H151" s="95" t="str">
        <x:f>IF($M151="","",INDEX('전체 WBS'!$H$1:$H$90,$N151))</x:f>
        <x:v>미확인</x:v>
      </x:c>
      <x:c r="I151" s="93" t="str">
        <x:f>IF($M151="","",INDEX('전체 WBS'!$I$1:$I$90,$N151))</x:f>
        <x:v>I26.2, I36.1</x:v>
      </x:c>
      <x:c r="J151" s="93" t="str">
        <x:f>IF($M151="","",INDEX('전체 WBS'!$D$1:$D$90,$N151))</x:f>
        <x:v>M5 유은혜(PM)</x:v>
      </x:c>
      <x:c r="K151" s="93" t="str">
        <x:f>IF($M151="","",INDEX('전체 WBS'!$E$1:$E$90,$N151))</x:f>
        <x:v>M3 홍은서</x:v>
      </x:c>
      <x:c r="L151" s="100" t="str">
        <x:f>IF($M151="","",HYPERLINK(INDEX('전체 WBS'!$AW$1:$AW$90,$N151),"원문"))</x:f>
        <x:v>원문</x:v>
      </x:c>
      <x:c r="M151" s="4" t="n">
        <x:f>IF(144&lt;=COUNTIFS('전체 WBS'!$AR$10:$AV$90,"&lt;1000000000"),SMALL('전체 WBS'!$AR$10:$AV$90,144),"")</x:f>
        <x:v>546332070.0</x:v>
      </x:c>
      <x:c r="N151" s="4" t="n">
        <x:f>IF($M151="","",MOD($M151,1000))</x:f>
        <x:v>70.0</x:v>
      </x:c>
      <x:c r="O151" s="4" t="n">
        <x:f>IF($M151="","",INT($M151/100000000))</x:f>
        <x:v>5.0</x:v>
      </x:c>
    </x:row>
    <x:row r="152" ht="31" customHeight="1">
      <x:c r="A152" s="93" t="str">
        <x:f>IF($M152="","",INDEX('전체 WBS'!$AR$9:$AV$9,1,$O152))</x:f>
        <x:v>M5 유은혜</x:v>
      </x:c>
      <x:c r="B152" s="93" t="str">
        <x:f>IF($M152="","",IF(ISNUMBER(SEARCH($A152,INDEX('전체 WBS'!$D$1:$D$90,$N152))),"주담당","협업"))</x:f>
        <x:v>협업</x:v>
      </x:c>
      <x:c r="C152" s="93" t="str">
        <x:f>IF($M152="","",INDEX('전체 WBS'!$A$1:$A$90,$N152))</x:f>
        <x:v>C11.2</x:v>
      </x:c>
      <x:c r="D152" s="93" t="str">
        <x:f>IF($M152="","",INDEX('전체 WBS'!$B$1:$B$90,$N152))</x:f>
        <x:v>보안·검증</x:v>
      </x:c>
      <x:c r="E152" s="93" t="str">
        <x:f>IF($M152="","",INDEX('전체 WBS'!$C$1:$C$90,$N152))</x:f>
        <x:v>앱·노드·VIP 장애 복구 테스트</x:v>
      </x:c>
      <x:c r="F152" s="94" t="str">
        <x:f>IF($M152="","",INDEX('전체 WBS'!$F$1:$F$90,$N152))</x:f>
        <x:v>46332</x:v>
      </x:c>
      <x:c r="G152" s="94" t="str">
        <x:f>IF($M152="","",INDEX('전체 WBS'!$G$1:$G$90,$N152))</x:f>
        <x:v>46336</x:v>
      </x:c>
      <x:c r="H152" s="95" t="str">
        <x:f>IF($M152="","",INDEX('전체 WBS'!$H$1:$H$90,$N152))</x:f>
        <x:v>미확인</x:v>
      </x:c>
      <x:c r="I152" s="93" t="str">
        <x:f>IF($M152="","",INDEX('전체 WBS'!$I$1:$I$90,$N152))</x:f>
        <x:v>C11.1, I26.4</x:v>
      </x:c>
      <x:c r="J152" s="93" t="str">
        <x:f>IF($M152="","",INDEX('전체 WBS'!$D$1:$D$90,$N152))</x:f>
        <x:v>M3 홍은서(PL)</x:v>
      </x:c>
      <x:c r="K152" s="93" t="str">
        <x:f>IF($M152="","",INDEX('전체 WBS'!$E$1:$E$90,$N152))</x:f>
        <x:v>M5 유은혜</x:v>
      </x:c>
      <x:c r="L152" s="100" t="str">
        <x:f>IF($M152="","",HYPERLINK(INDEX('전체 WBS'!$AW$1:$AW$90,$N152),"원문"))</x:f>
        <x:v>원문</x:v>
      </x:c>
      <x:c r="M152" s="4" t="n">
        <x:f>IF(145&lt;=COUNTIFS('전체 WBS'!$AR$10:$AV$90,"&lt;1000000000"),SMALL('전체 WBS'!$AR$10:$AV$90,145),"")</x:f>
        <x:v>546332078.0</x:v>
      </x:c>
      <x:c r="N152" s="4" t="n">
        <x:f>IF($M152="","",MOD($M152,1000))</x:f>
        <x:v>78.0</x:v>
      </x:c>
      <x:c r="O152" s="4" t="n">
        <x:f>IF($M152="","",INT($M152/100000000))</x:f>
        <x:v>5.0</x:v>
      </x:c>
    </x:row>
    <x:row r="153" ht="31" customHeight="1">
      <x:c r="A153" s="93" t="str">
        <x:f>IF($M153="","",INDEX('전체 WBS'!$AR$9:$AV$9,1,$O153))</x:f>
        <x:v>M5 유은혜</x:v>
      </x:c>
      <x:c r="B153" s="93" t="str">
        <x:f>IF($M153="","",IF(ISNUMBER(SEARCH($A153,INDEX('전체 WBS'!$D$1:$D$90,$N153))),"주담당","협업"))</x:f>
        <x:v>주담당</x:v>
      </x:c>
      <x:c r="C153" s="93" t="str">
        <x:f>IF($M153="","",INDEX('전체 WBS'!$A$1:$A$90,$N153))</x:f>
        <x:v>D8</x:v>
      </x:c>
      <x:c r="D153" s="93" t="str">
        <x:f>IF($M153="","",INDEX('전체 WBS'!$B$1:$B$90,$N153))</x:f>
        <x:v>개발</x:v>
      </x:c>
      <x:c r="E153" s="93" t="str">
        <x:f>IF($M153="","",INDEX('전체 WBS'!$C$1:$C$90,$N153))</x:f>
        <x:v>앱 회귀 테스트·배포 롤백 검증</x:v>
      </x:c>
      <x:c r="F153" s="94" t="str">
        <x:f>IF($M153="","",INDEX('전체 WBS'!$F$1:$F$90,$N153))</x:f>
        <x:v>46335</x:v>
      </x:c>
      <x:c r="G153" s="94" t="str">
        <x:f>IF($M153="","",INDEX('전체 WBS'!$G$1:$G$90,$N153))</x:f>
        <x:v>46336</x:v>
      </x:c>
      <x:c r="H153" s="95" t="str">
        <x:f>IF($M153="","",INDEX('전체 WBS'!$H$1:$H$90,$N153))</x:f>
        <x:v>미확인</x:v>
      </x:c>
      <x:c r="I153" s="93" t="str">
        <x:f>IF($M153="","",INDEX('전체 WBS'!$I$1:$I$90,$N153))</x:f>
        <x:v>C8, I16.3, I21.3, I26.4</x:v>
      </x:c>
      <x:c r="J153" s="93" t="str">
        <x:f>IF($M153="","",INDEX('전체 WBS'!$D$1:$D$90,$N153))</x:f>
        <x:v>M5 유은혜(PM)</x:v>
      </x:c>
      <x:c r="K153" s="93" t="str">
        <x:f>IF($M153="","",INDEX('전체 WBS'!$E$1:$E$90,$N153))</x:f>
        <x:v>M1 유용수 · M2 윤서영
M3 홍은서</x:v>
      </x:c>
      <x:c r="L153" s="100" t="str">
        <x:f>IF($M153="","",HYPERLINK(INDEX('전체 WBS'!$AW$1:$AW$90,$N153),"원문"))</x:f>
        <x:v>원문</x:v>
      </x:c>
      <x:c r="M153" s="4" t="n">
        <x:f>IF(146&lt;=COUNTIFS('전체 WBS'!$AR$10:$AV$90,"&lt;1000000000"),SMALL('전체 WBS'!$AR$10:$AV$90,146),"")</x:f>
        <x:v>546335044.0</x:v>
      </x:c>
      <x:c r="N153" s="4" t="n">
        <x:f>IF($M153="","",MOD($M153,1000))</x:f>
        <x:v>44.0</x:v>
      </x:c>
      <x:c r="O153" s="4" t="n">
        <x:f>IF($M153="","",INT($M153/100000000))</x:f>
        <x:v>5.0</x:v>
      </x:c>
    </x:row>
    <x:row r="154" ht="31" customHeight="1">
      <x:c r="A154" s="93" t="str">
        <x:f>IF($M154="","",INDEX('전체 WBS'!$AR$9:$AV$9,1,$O154))</x:f>
        <x:v>M5 유은혜</x:v>
      </x:c>
      <x:c r="B154" s="93" t="str">
        <x:f>IF($M154="","",IF(ISNUMBER(SEARCH($A154,INDEX('전체 WBS'!$D$1:$D$90,$N154))),"주담당","협업"))</x:f>
        <x:v>주담당</x:v>
      </x:c>
      <x:c r="C154" s="93" t="str">
        <x:f>IF($M154="","",INDEX('전체 WBS'!$A$1:$A$90,$N154))</x:f>
        <x:v>I37</x:v>
      </x:c>
      <x:c r="D154" s="93" t="str">
        <x:f>IF($M154="","",INDEX('전체 WBS'!$B$1:$B$90,$N154))</x:f>
        <x:v>보안·검증</x:v>
      </x:c>
      <x:c r="E154" s="93" t="str">
        <x:f>IF($M154="","",INDEX('전체 WBS'!$C$1:$C$90,$N154))</x:f>
        <x:v>S05 재공격·정상 동작 검증</x:v>
      </x:c>
      <x:c r="F154" s="94" t="str">
        <x:f>IF($M154="","",INDEX('전체 WBS'!$F$1:$F$90,$N154))</x:f>
        <x:v>46335</x:v>
      </x:c>
      <x:c r="G154" s="94" t="str">
        <x:f>IF($M154="","",INDEX('전체 WBS'!$G$1:$G$90,$N154))</x:f>
        <x:v>46336</x:v>
      </x:c>
      <x:c r="H154" s="95" t="str">
        <x:f>IF($M154="","",INDEX('전체 WBS'!$H$1:$H$90,$N154))</x:f>
        <x:v>미확인</x:v>
      </x:c>
      <x:c r="I154" s="93" t="str">
        <x:f>IF($M154="","",INDEX('전체 WBS'!$I$1:$I$90,$N154))</x:f>
        <x:v>I36.2</x:v>
      </x:c>
      <x:c r="J154" s="93" t="str">
        <x:f>IF($M154="","",INDEX('전체 WBS'!$D$1:$D$90,$N154))</x:f>
        <x:v>M5 유은혜(PM)</x:v>
      </x:c>
      <x:c r="K154" s="93" t="str">
        <x:f>IF($M154="","",INDEX('전체 WBS'!$E$1:$E$90,$N154))</x:f>
        <x:v>M1 유용수 · M3 홍은서</x:v>
      </x:c>
      <x:c r="L154" s="100" t="str">
        <x:f>IF($M154="","",HYPERLINK(INDEX('전체 WBS'!$AW$1:$AW$90,$N154),"원문"))</x:f>
        <x:v>원문</x:v>
      </x:c>
      <x:c r="M154" s="4" t="n">
        <x:f>IF(147&lt;=COUNTIFS('전체 WBS'!$AR$10:$AV$90,"&lt;1000000000"),SMALL('전체 WBS'!$AR$10:$AV$90,147),"")</x:f>
        <x:v>546335076.0</x:v>
      </x:c>
      <x:c r="N154" s="4" t="n">
        <x:f>IF($M154="","",MOD($M154,1000))</x:f>
        <x:v>76.0</x:v>
      </x:c>
      <x:c r="O154" s="4" t="n">
        <x:f>IF($M154="","",INT($M154/100000000))</x:f>
        <x:v>5.0</x:v>
      </x:c>
    </x:row>
    <x:row r="155" ht="31" customHeight="1">
      <x:c r="A155" s="93" t="str">
        <x:f>IF($M155="","",INDEX('전체 WBS'!$AR$9:$AV$9,1,$O155))</x:f>
        <x:v>M5 유은혜</x:v>
      </x:c>
      <x:c r="B155" s="93" t="str">
        <x:f>IF($M155="","",IF(ISNUMBER(SEARCH($A155,INDEX('전체 WBS'!$D$1:$D$90,$N155))),"주담당","협업"))</x:f>
        <x:v>주담당</x:v>
      </x:c>
      <x:c r="C155" s="93" t="str">
        <x:f>IF($M155="","",INDEX('전체 WBS'!$A$1:$A$90,$N155))</x:f>
        <x:v>C12.3</x:v>
      </x:c>
      <x:c r="D155" s="93" t="str">
        <x:f>IF($M155="","",INDEX('전체 WBS'!$B$1:$B$90,$N155))</x:f>
        <x:v>보안·검증</x:v>
      </x:c>
      <x:c r="E155" s="93" t="str">
        <x:f>IF($M155="","",INDEX('전체 WBS'!$C$1:$C$90,$N155))</x:f>
        <x:v>RDS 격리 복원 검증·임시 자원 정리</x:v>
      </x:c>
      <x:c r="F155" s="94" t="str">
        <x:f>IF($M155="","",INDEX('전체 WBS'!$F$1:$F$90,$N155))</x:f>
        <x:v>46335</x:v>
      </x:c>
      <x:c r="G155" s="94" t="str">
        <x:f>IF($M155="","",INDEX('전체 WBS'!$G$1:$G$90,$N155))</x:f>
        <x:v>46336</x:v>
      </x:c>
      <x:c r="H155" s="95" t="str">
        <x:f>IF($M155="","",INDEX('전체 WBS'!$H$1:$H$90,$N155))</x:f>
        <x:v>미확인</x:v>
      </x:c>
      <x:c r="I155" s="93" t="str">
        <x:f>IF($M155="","",INDEX('전체 WBS'!$I$1:$I$90,$N155))</x:f>
        <x:v>D5.2, C8</x:v>
      </x:c>
      <x:c r="J155" s="93" t="str">
        <x:f>IF($M155="","",INDEX('전체 WBS'!$D$1:$D$90,$N155))</x:f>
        <x:v>M5 유은혜(PM)</x:v>
      </x:c>
      <x:c r="K155" s="93" t="str">
        <x:f>IF($M155="","",INDEX('전체 WBS'!$E$1:$E$90,$N155))</x:f>
        <x:v>—</x:v>
      </x:c>
      <x:c r="L155" s="100" t="str">
        <x:f>IF($M155="","",HYPERLINK(INDEX('전체 WBS'!$AW$1:$AW$90,$N155),"원문"))</x:f>
        <x:v>원문</x:v>
      </x:c>
      <x:c r="M155" s="4" t="n">
        <x:f>IF(148&lt;=COUNTIFS('전체 WBS'!$AR$10:$AV$90,"&lt;1000000000"),SMALL('전체 WBS'!$AR$10:$AV$90,148),"")</x:f>
        <x:v>546335079.0</x:v>
      </x:c>
      <x:c r="N155" s="4" t="n">
        <x:f>IF($M155="","",MOD($M155,1000))</x:f>
        <x:v>79.0</x:v>
      </x:c>
      <x:c r="O155" s="4" t="n">
        <x:f>IF($M155="","",INT($M155/100000000))</x:f>
        <x:v>5.0</x:v>
      </x:c>
    </x:row>
    <x:row r="156" ht="31" customHeight="1">
      <x:c r="A156" s="93" t="str">
        <x:f>IF($M156="","",INDEX('전체 WBS'!$AR$9:$AV$9,1,$O156))</x:f>
        <x:v>M5 유은혜</x:v>
      </x:c>
      <x:c r="B156" s="93" t="str">
        <x:f>IF($M156="","",IF(ISNUMBER(SEARCH($A156,INDEX('전체 WBS'!$D$1:$D$90,$N156))),"주담당","협업"))</x:f>
        <x:v>협업</x:v>
      </x:c>
      <x:c r="C156" s="93" t="str">
        <x:f>IF($M156="","",INDEX('전체 WBS'!$A$1:$A$90,$N156))</x:f>
        <x:v>I18</x:v>
      </x:c>
      <x:c r="D156" s="93" t="str">
        <x:f>IF($M156="","",INDEX('전체 WBS'!$B$1:$B$90,$N156))</x:f>
        <x:v>공동·관리</x:v>
      </x:c>
      <x:c r="E156" s="93" t="str">
        <x:f>IF($M156="","",INDEX('전체 WBS'!$C$1:$C$90,$N156))</x:f>
        <x:v>M1 결과·발표자료 정리</x:v>
      </x:c>
      <x:c r="F156" s="94" t="str">
        <x:f>IF($M156="","",INDEX('전체 WBS'!$F$1:$F$90,$N156))</x:f>
        <x:v>46337</x:v>
      </x:c>
      <x:c r="G156" s="94" t="str">
        <x:f>IF($M156="","",INDEX('전체 WBS'!$G$1:$G$90,$N156))</x:f>
        <x:v>46338</x:v>
      </x:c>
      <x:c r="H156" s="95" t="str">
        <x:f>IF($M156="","",INDEX('전체 WBS'!$H$1:$H$90,$N156))</x:f>
        <x:v>미확인</x:v>
      </x:c>
      <x:c r="I156" s="93" t="str">
        <x:f>IF($M156="","",INDEX('전체 WBS'!$I$1:$I$90,$N156))</x:f>
        <x:v>I17</x:v>
      </x:c>
      <x:c r="J156" s="93" t="str">
        <x:f>IF($M156="","",INDEX('전체 WBS'!$D$1:$D$90,$N156))</x:f>
        <x:v>M1 유용수</x:v>
      </x:c>
      <x:c r="K156" s="93" t="str">
        <x:f>IF($M156="","",INDEX('전체 WBS'!$E$1:$E$90,$N156))</x:f>
        <x:v>M5 유은혜</x:v>
      </x:c>
      <x:c r="L156" s="100" t="str">
        <x:f>IF($M156="","",HYPERLINK(INDEX('전체 WBS'!$AW$1:$AW$90,$N156),"원문"))</x:f>
        <x:v>원문</x:v>
      </x:c>
      <x:c r="M156" s="4" t="n">
        <x:f>IF(149&lt;=COUNTIFS('전체 WBS'!$AR$10:$AV$90,"&lt;1000000000"),SMALL('전체 WBS'!$AR$10:$AV$90,149),"")</x:f>
        <x:v>546337081.0</x:v>
      </x:c>
      <x:c r="N156" s="4" t="n">
        <x:f>IF($M156="","",MOD($M156,1000))</x:f>
        <x:v>81.0</x:v>
      </x:c>
      <x:c r="O156" s="4" t="n">
        <x:f>IF($M156="","",INT($M156/100000000))</x:f>
        <x:v>5.0</x:v>
      </x:c>
    </x:row>
    <x:row r="157" ht="31" customHeight="1">
      <x:c r="A157" s="93" t="str">
        <x:f>IF($M157="","",INDEX('전체 WBS'!$AR$9:$AV$9,1,$O157))</x:f>
        <x:v>M5 유은혜</x:v>
      </x:c>
      <x:c r="B157" s="93" t="str">
        <x:f>IF($M157="","",IF(ISNUMBER(SEARCH($A157,INDEX('전체 WBS'!$D$1:$D$90,$N157))),"주담당","협업"))</x:f>
        <x:v>협업</x:v>
      </x:c>
      <x:c r="C157" s="93" t="str">
        <x:f>IF($M157="","",INDEX('전체 WBS'!$A$1:$A$90,$N157))</x:f>
        <x:v>I23</x:v>
      </x:c>
      <x:c r="D157" s="93" t="str">
        <x:f>IF($M157="","",INDEX('전체 WBS'!$B$1:$B$90,$N157))</x:f>
        <x:v>공동·관리</x:v>
      </x:c>
      <x:c r="E157" s="93" t="str">
        <x:f>IF($M157="","",INDEX('전체 WBS'!$C$1:$C$90,$N157))</x:f>
        <x:v>M2 결과·발표자료 정리</x:v>
      </x:c>
      <x:c r="F157" s="94" t="str">
        <x:f>IF($M157="","",INDEX('전체 WBS'!$F$1:$F$90,$N157))</x:f>
        <x:v>46337</x:v>
      </x:c>
      <x:c r="G157" s="94" t="str">
        <x:f>IF($M157="","",INDEX('전체 WBS'!$G$1:$G$90,$N157))</x:f>
        <x:v>46338</x:v>
      </x:c>
      <x:c r="H157" s="95" t="str">
        <x:f>IF($M157="","",INDEX('전체 WBS'!$H$1:$H$90,$N157))</x:f>
        <x:v>미확인</x:v>
      </x:c>
      <x:c r="I157" s="93" t="str">
        <x:f>IF($M157="","",INDEX('전체 WBS'!$I$1:$I$90,$N157))</x:f>
        <x:v>I22</x:v>
      </x:c>
      <x:c r="J157" s="93" t="str">
        <x:f>IF($M157="","",INDEX('전체 WBS'!$D$1:$D$90,$N157))</x:f>
        <x:v>M2 윤서영</x:v>
      </x:c>
      <x:c r="K157" s="93" t="str">
        <x:f>IF($M157="","",INDEX('전체 WBS'!$E$1:$E$90,$N157))</x:f>
        <x:v>M5 유은혜</x:v>
      </x:c>
      <x:c r="L157" s="100" t="str">
        <x:f>IF($M157="","",HYPERLINK(INDEX('전체 WBS'!$AW$1:$AW$90,$N157),"원문"))</x:f>
        <x:v>원문</x:v>
      </x:c>
      <x:c r="M157" s="4" t="n">
        <x:f>IF(150&lt;=COUNTIFS('전체 WBS'!$AR$10:$AV$90,"&lt;1000000000"),SMALL('전체 WBS'!$AR$10:$AV$90,150),"")</x:f>
        <x:v>546337082.0</x:v>
      </x:c>
      <x:c r="N157" s="4" t="n">
        <x:f>IF($M157="","",MOD($M157,1000))</x:f>
        <x:v>82.0</x:v>
      </x:c>
      <x:c r="O157" s="4" t="n">
        <x:f>IF($M157="","",INT($M157/100000000))</x:f>
        <x:v>5.0</x:v>
      </x:c>
    </x:row>
    <x:row r="158" ht="31" customHeight="1">
      <x:c r="A158" s="93" t="str">
        <x:f>IF($M158="","",INDEX('전체 WBS'!$AR$9:$AV$9,1,$O158))</x:f>
        <x:v>M5 유은혜</x:v>
      </x:c>
      <x:c r="B158" s="93" t="str">
        <x:f>IF($M158="","",IF(ISNUMBER(SEARCH($A158,INDEX('전체 WBS'!$D$1:$D$90,$N158))),"주담당","협업"))</x:f>
        <x:v>협업</x:v>
      </x:c>
      <x:c r="C158" s="93" t="str">
        <x:f>IF($M158="","",INDEX('전체 WBS'!$A$1:$A$90,$N158))</x:f>
        <x:v>I28</x:v>
      </x:c>
      <x:c r="D158" s="93" t="str">
        <x:f>IF($M158="","",INDEX('전체 WBS'!$B$1:$B$90,$N158))</x:f>
        <x:v>공동·관리</x:v>
      </x:c>
      <x:c r="E158" s="93" t="str">
        <x:f>IF($M158="","",INDEX('전체 WBS'!$C$1:$C$90,$N158))</x:f>
        <x:v>M3 결과·발표자료 정리</x:v>
      </x:c>
      <x:c r="F158" s="94" t="str">
        <x:f>IF($M158="","",INDEX('전체 WBS'!$F$1:$F$90,$N158))</x:f>
        <x:v>46337</x:v>
      </x:c>
      <x:c r="G158" s="94" t="str">
        <x:f>IF($M158="","",INDEX('전체 WBS'!$G$1:$G$90,$N158))</x:f>
        <x:v>46338</x:v>
      </x:c>
      <x:c r="H158" s="95" t="str">
        <x:f>IF($M158="","",INDEX('전체 WBS'!$H$1:$H$90,$N158))</x:f>
        <x:v>미확인</x:v>
      </x:c>
      <x:c r="I158" s="93" t="str">
        <x:f>IF($M158="","",INDEX('전체 WBS'!$I$1:$I$90,$N158))</x:f>
        <x:v>I27</x:v>
      </x:c>
      <x:c r="J158" s="93" t="str">
        <x:f>IF($M158="","",INDEX('전체 WBS'!$D$1:$D$90,$N158))</x:f>
        <x:v>M3 홍은서(PL)</x:v>
      </x:c>
      <x:c r="K158" s="93" t="str">
        <x:f>IF($M158="","",INDEX('전체 WBS'!$E$1:$E$90,$N158))</x:f>
        <x:v>M5 유은혜</x:v>
      </x:c>
      <x:c r="L158" s="100" t="str">
        <x:f>IF($M158="","",HYPERLINK(INDEX('전체 WBS'!$AW$1:$AW$90,$N158),"원문"))</x:f>
        <x:v>원문</x:v>
      </x:c>
      <x:c r="M158" s="4" t="n">
        <x:f>IF(151&lt;=COUNTIFS('전체 WBS'!$AR$10:$AV$90,"&lt;1000000000"),SMALL('전체 WBS'!$AR$10:$AV$90,151),"")</x:f>
        <x:v>546337083.0</x:v>
      </x:c>
      <x:c r="N158" s="4" t="n">
        <x:f>IF($M158="","",MOD($M158,1000))</x:f>
        <x:v>83.0</x:v>
      </x:c>
      <x:c r="O158" s="4" t="n">
        <x:f>IF($M158="","",INT($M158/100000000))</x:f>
        <x:v>5.0</x:v>
      </x:c>
    </x:row>
    <x:row r="159" ht="31" customHeight="1">
      <x:c r="A159" s="93" t="str">
        <x:f>IF($M159="","",INDEX('전체 WBS'!$AR$9:$AV$9,1,$O159))</x:f>
        <x:v>M5 유은혜</x:v>
      </x:c>
      <x:c r="B159" s="93" t="str">
        <x:f>IF($M159="","",IF(ISNUMBER(SEARCH($A159,INDEX('전체 WBS'!$D$1:$D$90,$N159))),"주담당","협업"))</x:f>
        <x:v>협업</x:v>
      </x:c>
      <x:c r="C159" s="93" t="str">
        <x:f>IF($M159="","",INDEX('전체 WBS'!$A$1:$A$90,$N159))</x:f>
        <x:v>I33</x:v>
      </x:c>
      <x:c r="D159" s="93" t="str">
        <x:f>IF($M159="","",INDEX('전체 WBS'!$B$1:$B$90,$N159))</x:f>
        <x:v>공동·관리</x:v>
      </x:c>
      <x:c r="E159" s="93" t="str">
        <x:f>IF($M159="","",INDEX('전체 WBS'!$C$1:$C$90,$N159))</x:f>
        <x:v>M4 결과·발표자료 정리</x:v>
      </x:c>
      <x:c r="F159" s="94" t="str">
        <x:f>IF($M159="","",INDEX('전체 WBS'!$F$1:$F$90,$N159))</x:f>
        <x:v>46337</x:v>
      </x:c>
      <x:c r="G159" s="94" t="str">
        <x:f>IF($M159="","",INDEX('전체 WBS'!$G$1:$G$90,$N159))</x:f>
        <x:v>46338</x:v>
      </x:c>
      <x:c r="H159" s="95" t="str">
        <x:f>IF($M159="","",INDEX('전체 WBS'!$H$1:$H$90,$N159))</x:f>
        <x:v>미확인</x:v>
      </x:c>
      <x:c r="I159" s="93" t="str">
        <x:f>IF($M159="","",INDEX('전체 WBS'!$I$1:$I$90,$N159))</x:f>
        <x:v>I32</x:v>
      </x:c>
      <x:c r="J159" s="93" t="str">
        <x:f>IF($M159="","",INDEX('전체 WBS'!$D$1:$D$90,$N159))</x:f>
        <x:v>M4 박진혁</x:v>
      </x:c>
      <x:c r="K159" s="93" t="str">
        <x:f>IF($M159="","",INDEX('전체 WBS'!$E$1:$E$90,$N159))</x:f>
        <x:v>M5 유은혜</x:v>
      </x:c>
      <x:c r="L159" s="100" t="str">
        <x:f>IF($M159="","",HYPERLINK(INDEX('전체 WBS'!$AW$1:$AW$90,$N159),"원문"))</x:f>
        <x:v>원문</x:v>
      </x:c>
      <x:c r="M159" s="4" t="n">
        <x:f>IF(152&lt;=COUNTIFS('전체 WBS'!$AR$10:$AV$90,"&lt;1000000000"),SMALL('전체 WBS'!$AR$10:$AV$90,152),"")</x:f>
        <x:v>546337084.0</x:v>
      </x:c>
      <x:c r="N159" s="4" t="n">
        <x:f>IF($M159="","",MOD($M159,1000))</x:f>
        <x:v>84.0</x:v>
      </x:c>
      <x:c r="O159" s="4" t="n">
        <x:f>IF($M159="","",INT($M159/100000000))</x:f>
        <x:v>5.0</x:v>
      </x:c>
    </x:row>
    <x:row r="160" ht="31" customHeight="1">
      <x:c r="A160" s="93" t="str">
        <x:f>IF($M160="","",INDEX('전체 WBS'!$AR$9:$AV$9,1,$O160))</x:f>
        <x:v>M5 유은혜</x:v>
      </x:c>
      <x:c r="B160" s="93" t="str">
        <x:f>IF($M160="","",IF(ISNUMBER(SEARCH($A160,INDEX('전체 WBS'!$D$1:$D$90,$N160))),"주담당","협업"))</x:f>
        <x:v>주담당</x:v>
      </x:c>
      <x:c r="C160" s="93" t="str">
        <x:f>IF($M160="","",INDEX('전체 WBS'!$A$1:$A$90,$N160))</x:f>
        <x:v>I38</x:v>
      </x:c>
      <x:c r="D160" s="93" t="str">
        <x:f>IF($M160="","",INDEX('전체 WBS'!$B$1:$B$90,$N160))</x:f>
        <x:v>공동·관리</x:v>
      </x:c>
      <x:c r="E160" s="93" t="str">
        <x:f>IF($M160="","",INDEX('전체 WBS'!$C$1:$C$90,$N160))</x:f>
        <x:v>M5 결과·발표자료 정리</x:v>
      </x:c>
      <x:c r="F160" s="94" t="str">
        <x:f>IF($M160="","",INDEX('전체 WBS'!$F$1:$F$90,$N160))</x:f>
        <x:v>46337</x:v>
      </x:c>
      <x:c r="G160" s="94" t="str">
        <x:f>IF($M160="","",INDEX('전체 WBS'!$G$1:$G$90,$N160))</x:f>
        <x:v>46338</x:v>
      </x:c>
      <x:c r="H160" s="95" t="str">
        <x:f>IF($M160="","",INDEX('전체 WBS'!$H$1:$H$90,$N160))</x:f>
        <x:v>미확인</x:v>
      </x:c>
      <x:c r="I160" s="93" t="str">
        <x:f>IF($M160="","",INDEX('전체 WBS'!$I$1:$I$90,$N160))</x:f>
        <x:v>I37</x:v>
      </x:c>
      <x:c r="J160" s="93" t="str">
        <x:f>IF($M160="","",INDEX('전체 WBS'!$D$1:$D$90,$N160))</x:f>
        <x:v>M5 유은혜(PM)</x:v>
      </x:c>
      <x:c r="K160" s="93" t="str">
        <x:f>IF($M160="","",INDEX('전체 WBS'!$E$1:$E$90,$N160))</x:f>
        <x:v>M3 홍은서</x:v>
      </x:c>
      <x:c r="L160" s="100" t="str">
        <x:f>IF($M160="","",HYPERLINK(INDEX('전체 WBS'!$AW$1:$AW$90,$N160),"원문"))</x:f>
        <x:v>원문</x:v>
      </x:c>
      <x:c r="M160" s="4" t="n">
        <x:f>IF(153&lt;=COUNTIFS('전체 WBS'!$AR$10:$AV$90,"&lt;1000000000"),SMALL('전체 WBS'!$AR$10:$AV$90,153),"")</x:f>
        <x:v>546337085.0</x:v>
      </x:c>
      <x:c r="N160" s="4" t="n">
        <x:f>IF($M160="","",MOD($M160,1000))</x:f>
        <x:v>85.0</x:v>
      </x:c>
      <x:c r="O160" s="4" t="n">
        <x:f>IF($M160="","",INT($M160/100000000))</x:f>
        <x:v>5.0</x:v>
      </x:c>
    </x:row>
    <x:row r="161" ht="31" customHeight="1">
      <x:c r="A161" s="93" t="str">
        <x:f>IF($M161="","",INDEX('전체 WBS'!$AR$9:$AV$9,1,$O161))</x:f>
        <x:v>M5 유은혜</x:v>
      </x:c>
      <x:c r="B161" s="93" t="str">
        <x:f>IF($M161="","",IF(ISNUMBER(SEARCH($A161,INDEX('전체 WBS'!$D$1:$D$90,$N161))),"주담당","협업"))</x:f>
        <x:v>주담당</x:v>
      </x:c>
      <x:c r="C161" s="93" t="str">
        <x:f>IF($M161="","",INDEX('전체 WBS'!$A$1:$A$90,$N161))</x:f>
        <x:v>C13.1</x:v>
      </x:c>
      <x:c r="D161" s="93" t="str">
        <x:f>IF($M161="","",INDEX('전체 WBS'!$B$1:$B$90,$N161))</x:f>
        <x:v>공동·관리</x:v>
      </x:c>
      <x:c r="E161" s="93" t="str">
        <x:f>IF($M161="","",INDEX('전체 WBS'!$C$1:$C$90,$N161))</x:f>
        <x:v>최종 보고·발표자료 취합</x:v>
      </x:c>
      <x:c r="F161" s="94" t="str">
        <x:f>IF($M161="","",INDEX('전체 WBS'!$F$1:$F$90,$N161))</x:f>
        <x:v>46337</x:v>
      </x:c>
      <x:c r="G161" s="94" t="str">
        <x:f>IF($M161="","",INDEX('전체 WBS'!$G$1:$G$90,$N161))</x:f>
        <x:v>46338</x:v>
      </x:c>
      <x:c r="H161" s="95" t="str">
        <x:f>IF($M161="","",INDEX('전체 WBS'!$H$1:$H$90,$N161))</x:f>
        <x:v>미확인</x:v>
      </x:c>
      <x:c r="I161" s="93" t="str">
        <x:f>IF($M161="","",INDEX('전체 WBS'!$I$1:$I$90,$N161))</x:f>
        <x:v>I18, I23, I28, I33, I38</x:v>
      </x:c>
      <x:c r="J161" s="93" t="str">
        <x:f>IF($M161="","",INDEX('전체 WBS'!$D$1:$D$90,$N161))</x:f>
        <x:v>M5 유은혜(PM)</x:v>
      </x:c>
      <x:c r="K161" s="93" t="str">
        <x:f>IF($M161="","",INDEX('전체 WBS'!$E$1:$E$90,$N161))</x:f>
        <x:v>M3 홍은서</x:v>
      </x:c>
      <x:c r="L161" s="100" t="str">
        <x:f>IF($M161="","",HYPERLINK(INDEX('전체 WBS'!$AW$1:$AW$90,$N161),"원문"))</x:f>
        <x:v>원문</x:v>
      </x:c>
      <x:c r="M161" s="4" t="n">
        <x:f>IF(154&lt;=COUNTIFS('전체 WBS'!$AR$10:$AV$90,"&lt;1000000000"),SMALL('전체 WBS'!$AR$10:$AV$90,154),"")</x:f>
        <x:v>546337086.0</x:v>
      </x:c>
      <x:c r="N161" s="4" t="n">
        <x:f>IF($M161="","",MOD($M161,1000))</x:f>
        <x:v>86.0</x:v>
      </x:c>
      <x:c r="O161" s="4" t="n">
        <x:f>IF($M161="","",INT($M161/100000000))</x:f>
        <x:v>5.0</x:v>
      </x:c>
    </x:row>
    <x:row r="162" ht="31" customHeight="1">
      <x:c r="A162" s="93" t="str">
        <x:f>IF($M162="","",INDEX('전체 WBS'!$AR$9:$AV$9,1,$O162))</x:f>
        <x:v>M5 유은혜</x:v>
      </x:c>
      <x:c r="B162" s="93" t="str">
        <x:f>IF($M162="","",IF(ISNUMBER(SEARCH($A162,INDEX('전체 WBS'!$D$1:$D$90,$N162))),"주담당","협업"))</x:f>
        <x:v>주담당</x:v>
      </x:c>
      <x:c r="C162" s="93" t="str">
        <x:f>IF($M162="","",INDEX('전체 WBS'!$A$1:$A$90,$N162))</x:f>
        <x:v>C13.2</x:v>
      </x:c>
      <x:c r="D162" s="93" t="str">
        <x:f>IF($M162="","",INDEX('전체 WBS'!$B$1:$B$90,$N162))</x:f>
        <x:v>공동·관리</x:v>
      </x:c>
      <x:c r="E162" s="93" t="str">
        <x:f>IF($M162="","",INDEX('전체 WBS'!$C$1:$C$90,$N162))</x:f>
        <x:v>전원 리허설·환경 복구 확인</x:v>
      </x:c>
      <x:c r="F162" s="94" t="str">
        <x:f>IF($M162="","",INDEX('전체 WBS'!$F$1:$F$90,$N162))</x:f>
        <x:v>46339</x:v>
      </x:c>
      <x:c r="G162" s="94" t="str">
        <x:f>IF($M162="","",INDEX('전체 WBS'!$G$1:$G$90,$N162))</x:f>
        <x:v>46339</x:v>
      </x:c>
      <x:c r="H162" s="95" t="str">
        <x:f>IF($M162="","",INDEX('전체 WBS'!$H$1:$H$90,$N162))</x:f>
        <x:v>미확인</x:v>
      </x:c>
      <x:c r="I162" s="93" t="str">
        <x:f>IF($M162="","",INDEX('전체 WBS'!$I$1:$I$90,$N162))</x:f>
        <x:v>C13.1</x:v>
      </x:c>
      <x:c r="J162" s="93" t="str">
        <x:f>IF($M162="","",INDEX('전체 WBS'!$D$1:$D$90,$N162))</x:f>
        <x:v>M5 유은혜(PM)</x:v>
      </x:c>
      <x:c r="K162" s="93" t="str">
        <x:f>IF($M162="","",INDEX('전체 WBS'!$E$1:$E$90,$N162))</x:f>
        <x:v>M1 유용수 · M2 윤서영
M3 홍은서 · M4 박진혁</x:v>
      </x:c>
      <x:c r="L162" s="100" t="str">
        <x:f>IF($M162="","",HYPERLINK(INDEX('전체 WBS'!$AW$1:$AW$90,$N162),"원문"))</x:f>
        <x:v>원문</x:v>
      </x:c>
      <x:c r="M162" s="4" t="n">
        <x:f>IF(155&lt;=COUNTIFS('전체 WBS'!$AR$10:$AV$90,"&lt;1000000000"),SMALL('전체 WBS'!$AR$10:$AV$90,155),"")</x:f>
        <x:v>546339087.0</x:v>
      </x:c>
      <x:c r="N162" s="4" t="n">
        <x:f>IF($M162="","",MOD($M162,1000))</x:f>
        <x:v>87.0</x:v>
      </x:c>
      <x:c r="O162" s="4" t="n">
        <x:f>IF($M162="","",INT($M162/100000000))</x:f>
        <x:v>5.0</x:v>
      </x:c>
    </x:row>
    <x:row r="163" ht="31" customHeight="1">
      <x:c r="A163" s="93" t="str">
        <x:f>IF($M163="","",INDEX('전체 WBS'!$AR$9:$AV$9,1,$O163))</x:f>
        <x:v>M5 유은혜</x:v>
      </x:c>
      <x:c r="B163" s="93" t="str">
        <x:f>IF($M163="","",IF(ISNUMBER(SEARCH($A163,INDEX('전체 WBS'!$D$1:$D$90,$N163))),"주담당","협업"))</x:f>
        <x:v>주담당</x:v>
      </x:c>
      <x:c r="C163" s="93" t="str">
        <x:f>IF($M163="","",INDEX('전체 WBS'!$A$1:$A$90,$N163))</x:f>
        <x:v>C13.3</x:v>
      </x:c>
      <x:c r="D163" s="93" t="str">
        <x:f>IF($M163="","",INDEX('전체 WBS'!$B$1:$B$90,$N163))</x:f>
        <x:v>공동·관리</x:v>
      </x:c>
      <x:c r="E163" s="93" t="str">
        <x:f>IF($M163="","",INDEX('전체 WBS'!$C$1:$C$90,$N163))</x:f>
        <x:v>파일·링크·대체 시연 점검</x:v>
      </x:c>
      <x:c r="F163" s="94" t="str">
        <x:f>IF($M163="","",INDEX('전체 WBS'!$F$1:$F$90,$N163))</x:f>
        <x:v>46340</x:v>
      </x:c>
      <x:c r="G163" s="94" t="str">
        <x:f>IF($M163="","",INDEX('전체 WBS'!$G$1:$G$90,$N163))</x:f>
        <x:v>46340</x:v>
      </x:c>
      <x:c r="H163" s="95" t="str">
        <x:f>IF($M163="","",INDEX('전체 WBS'!$H$1:$H$90,$N163))</x:f>
        <x:v>미확인</x:v>
      </x:c>
      <x:c r="I163" s="93" t="str">
        <x:f>IF($M163="","",INDEX('전체 WBS'!$I$1:$I$90,$N163))</x:f>
        <x:v>C13.2</x:v>
      </x:c>
      <x:c r="J163" s="93" t="str">
        <x:f>IF($M163="","",INDEX('전체 WBS'!$D$1:$D$90,$N163))</x:f>
        <x:v>M5 유은혜(PM)</x:v>
      </x:c>
      <x:c r="K163" s="93" t="str">
        <x:f>IF($M163="","",INDEX('전체 WBS'!$E$1:$E$90,$N163))</x:f>
        <x:v>M3 홍은서</x:v>
      </x:c>
      <x:c r="L163" s="100" t="str">
        <x:f>IF($M163="","",HYPERLINK(INDEX('전체 WBS'!$AW$1:$AW$90,$N163),"원문"))</x:f>
        <x:v>원문</x:v>
      </x:c>
      <x:c r="M163" s="4" t="n">
        <x:f>IF(156&lt;=COUNTIFS('전체 WBS'!$AR$10:$AV$90,"&lt;1000000000"),SMALL('전체 WBS'!$AR$10:$AV$90,156),"")</x:f>
        <x:v>546340088.0</x:v>
      </x:c>
      <x:c r="N163" s="4" t="n">
        <x:f>IF($M163="","",MOD($M163,1000))</x:f>
        <x:v>88.0</x:v>
      </x:c>
      <x:c r="O163" s="4" t="n">
        <x:f>IF($M163="","",INT($M163/100000000))</x:f>
        <x:v>5.0</x:v>
      </x:c>
    </x:row>
    <x:row r="164" ht="31" customHeight="1">
      <x:c r="A164" s="96" t="str">
        <x:f>IF($M164="","",INDEX('전체 WBS'!$AR$9:$AV$9,1,$O164))</x:f>
        <x:v>M5 유은혜</x:v>
      </x:c>
      <x:c r="B164" s="96" t="str">
        <x:f>IF($M164="","",IF(ISNUMBER(SEARCH($A164,INDEX('전체 WBS'!$D$1:$D$90,$N164))),"주담당","협업"))</x:f>
        <x:v>주담당</x:v>
      </x:c>
      <x:c r="C164" s="96" t="str">
        <x:f>IF($M164="","",INDEX('전체 WBS'!$A$1:$A$90,$N164))</x:f>
        <x:v>C13.4</x:v>
      </x:c>
      <x:c r="D164" s="96" t="str">
        <x:f>IF($M164="","",INDEX('전체 WBS'!$B$1:$B$90,$N164))</x:f>
        <x:v>공동·관리</x:v>
      </x:c>
      <x:c r="E164" s="96" t="str">
        <x:f>IF($M164="","",INDEX('전체 WBS'!$C$1:$C$90,$N164))</x:f>
        <x:v>최종 발표·실습 자원 정리</x:v>
      </x:c>
      <x:c r="F164" s="97" t="str">
        <x:f>IF($M164="","",INDEX('전체 WBS'!$F$1:$F$90,$N164))</x:f>
        <x:v>46342</x:v>
      </x:c>
      <x:c r="G164" s="97" t="str">
        <x:f>IF($M164="","",INDEX('전체 WBS'!$G$1:$G$90,$N164))</x:f>
        <x:v>46342</x:v>
      </x:c>
      <x:c r="H164" s="98" t="str">
        <x:f>IF($M164="","",INDEX('전체 WBS'!$H$1:$H$90,$N164))</x:f>
        <x:v>미확인</x:v>
      </x:c>
      <x:c r="I164" s="96" t="str">
        <x:f>IF($M164="","",INDEX('전체 WBS'!$I$1:$I$90,$N164))</x:f>
        <x:v>C13.3</x:v>
      </x:c>
      <x:c r="J164" s="96" t="str">
        <x:f>IF($M164="","",INDEX('전체 WBS'!$D$1:$D$90,$N164))</x:f>
        <x:v>M5 유은혜(PM)</x:v>
      </x:c>
      <x:c r="K164" s="96" t="str">
        <x:f>IF($M164="","",INDEX('전체 WBS'!$E$1:$E$90,$N164))</x:f>
        <x:v>M1 유용수 · M2 윤서영
M3 홍은서 · M4 박진혁</x:v>
      </x:c>
      <x:c r="L164" s="101" t="str">
        <x:f>IF($M164="","",HYPERLINK(INDEX('전체 WBS'!$AW$1:$AW$90,$N164),"원문"))</x:f>
        <x:v>원문</x:v>
      </x:c>
      <x:c r="M164" s="4" t="n">
        <x:f>IF(157&lt;=COUNTIFS('전체 WBS'!$AR$10:$AV$90,"&lt;1000000000"),SMALL('전체 WBS'!$AR$10:$AV$90,157),"")</x:f>
        <x:v>546342089.0</x:v>
      </x:c>
      <x:c r="N164" s="4" t="n">
        <x:f>IF($M164="","",MOD($M164,1000))</x:f>
        <x:v>89.0</x:v>
      </x:c>
      <x:c r="O164" s="4" t="n">
        <x:f>IF($M164="","",INT($M164/100000000))</x:f>
        <x:v>5.0</x:v>
      </x:c>
    </x:row>
    <x:row r="165" ht="31" customHeight="1">
      <x:c r="A165" s="4" t="str">
        <x:f>IF($M165="","",INDEX('전체 WBS'!$AR$9:$AV$9,1,$O165))</x:f>
        <x:v/>
      </x:c>
      <x:c r="B165" s="4" t="str">
        <x:f>IF($M165="","",IF(ISNUMBER(SEARCH($A165,INDEX('전체 WBS'!$D$1:$D$90,$N165))),"주담당","협업"))</x:f>
        <x:v/>
      </x:c>
      <x:c r="C165" s="4" t="str">
        <x:f>IF($M165="","",INDEX('전체 WBS'!$A$1:$A$90,$N165))</x:f>
        <x:v/>
      </x:c>
      <x:c r="D165" s="4" t="str">
        <x:f>IF($M165="","",INDEX('전체 WBS'!$B$1:$B$90,$N165))</x:f>
        <x:v/>
      </x:c>
      <x:c r="E165" s="4" t="str">
        <x:f>IF($M165="","",INDEX('전체 WBS'!$C$1:$C$90,$N165))</x:f>
        <x:v/>
      </x:c>
      <x:c r="F165" s="89" t="str">
        <x:f>IF($M165="","",INDEX('전체 WBS'!$F$1:$F$90,$N165))</x:f>
        <x:v/>
      </x:c>
      <x:c r="G165" s="89" t="str">
        <x:f>IF($M165="","",INDEX('전체 WBS'!$G$1:$G$90,$N165))</x:f>
        <x:v/>
      </x:c>
      <x:c r="H165" s="88" t="str">
        <x:f>IF($M165="","",INDEX('전체 WBS'!$H$1:$H$90,$N165))</x:f>
        <x:v/>
      </x:c>
      <x:c r="I165" s="4" t="str">
        <x:f>IF($M165="","",INDEX('전체 WBS'!$I$1:$I$90,$N165))</x:f>
        <x:v/>
      </x:c>
      <x:c r="J165" s="4" t="str">
        <x:f>IF($M165="","",INDEX('전체 WBS'!$D$1:$D$90,$N165))</x:f>
        <x:v/>
      </x:c>
      <x:c r="K165" s="4" t="str">
        <x:f>IF($M165="","",INDEX('전체 WBS'!$E$1:$E$90,$N165))</x:f>
        <x:v/>
      </x:c>
      <x:c r="L165" s="102" t="str">
        <x:f>IF($M165="","",HYPERLINK(INDEX('전체 WBS'!$AW$1:$AW$90,$N165),"원문"))</x:f>
        <x:v/>
      </x:c>
      <x:c r="M165" s="4" t="str">
        <x:f>IF(158&lt;=COUNTIFS('전체 WBS'!$AR$10:$AV$90,"&lt;1000000000"),SMALL('전체 WBS'!$AR$10:$AV$90,158),"")</x:f>
        <x:v/>
      </x:c>
      <x:c r="N165" s="4" t="str">
        <x:f>IF($M165="","",MOD($M165,1000))</x:f>
        <x:v/>
      </x:c>
      <x:c r="O165" s="4" t="str">
        <x:f>IF($M165="","",INT($M165/100000000))</x:f>
        <x:v/>
      </x:c>
    </x:row>
    <x:row r="166" ht="31" customHeight="1">
      <x:c r="A166" s="4" t="str">
        <x:f>IF($M166="","",INDEX('전체 WBS'!$AR$9:$AV$9,1,$O166))</x:f>
        <x:v/>
      </x:c>
      <x:c r="B166" s="4" t="str">
        <x:f>IF($M166="","",IF(ISNUMBER(SEARCH($A166,INDEX('전체 WBS'!$D$1:$D$90,$N166))),"주담당","협업"))</x:f>
        <x:v/>
      </x:c>
      <x:c r="C166" s="4" t="str">
        <x:f>IF($M166="","",INDEX('전체 WBS'!$A$1:$A$90,$N166))</x:f>
        <x:v/>
      </x:c>
      <x:c r="D166" s="4" t="str">
        <x:f>IF($M166="","",INDEX('전체 WBS'!$B$1:$B$90,$N166))</x:f>
        <x:v/>
      </x:c>
      <x:c r="E166" s="4" t="str">
        <x:f>IF($M166="","",INDEX('전체 WBS'!$C$1:$C$90,$N166))</x:f>
        <x:v/>
      </x:c>
      <x:c r="F166" s="89" t="str">
        <x:f>IF($M166="","",INDEX('전체 WBS'!$F$1:$F$90,$N166))</x:f>
        <x:v/>
      </x:c>
      <x:c r="G166" s="89" t="str">
        <x:f>IF($M166="","",INDEX('전체 WBS'!$G$1:$G$90,$N166))</x:f>
        <x:v/>
      </x:c>
      <x:c r="H166" s="88" t="str">
        <x:f>IF($M166="","",INDEX('전체 WBS'!$H$1:$H$90,$N166))</x:f>
        <x:v/>
      </x:c>
      <x:c r="I166" s="4" t="str">
        <x:f>IF($M166="","",INDEX('전체 WBS'!$I$1:$I$90,$N166))</x:f>
        <x:v/>
      </x:c>
      <x:c r="J166" s="4" t="str">
        <x:f>IF($M166="","",INDEX('전체 WBS'!$D$1:$D$90,$N166))</x:f>
        <x:v/>
      </x:c>
      <x:c r="K166" s="4" t="str">
        <x:f>IF($M166="","",INDEX('전체 WBS'!$E$1:$E$90,$N166))</x:f>
        <x:v/>
      </x:c>
      <x:c r="L166" s="102" t="str">
        <x:f>IF($M166="","",HYPERLINK(INDEX('전체 WBS'!$AW$1:$AW$90,$N166),"원문"))</x:f>
        <x:v/>
      </x:c>
      <x:c r="M166" s="4" t="str">
        <x:f>IF(159&lt;=COUNTIFS('전체 WBS'!$AR$10:$AV$90,"&lt;1000000000"),SMALL('전체 WBS'!$AR$10:$AV$90,159),"")</x:f>
        <x:v/>
      </x:c>
      <x:c r="N166" s="4" t="str">
        <x:f>IF($M166="","",MOD($M166,1000))</x:f>
        <x:v/>
      </x:c>
      <x:c r="O166" s="4" t="str">
        <x:f>IF($M166="","",INT($M166/100000000))</x:f>
        <x:v/>
      </x:c>
    </x:row>
    <x:row r="167" ht="31" customHeight="1">
      <x:c r="A167" s="4" t="str">
        <x:f>IF($M167="","",INDEX('전체 WBS'!$AR$9:$AV$9,1,$O167))</x:f>
        <x:v/>
      </x:c>
      <x:c r="B167" s="4" t="str">
        <x:f>IF($M167="","",IF(ISNUMBER(SEARCH($A167,INDEX('전체 WBS'!$D$1:$D$90,$N167))),"주담당","협업"))</x:f>
        <x:v/>
      </x:c>
      <x:c r="C167" s="4" t="str">
        <x:f>IF($M167="","",INDEX('전체 WBS'!$A$1:$A$90,$N167))</x:f>
        <x:v/>
      </x:c>
      <x:c r="D167" s="4" t="str">
        <x:f>IF($M167="","",INDEX('전체 WBS'!$B$1:$B$90,$N167))</x:f>
        <x:v/>
      </x:c>
      <x:c r="E167" s="4" t="str">
        <x:f>IF($M167="","",INDEX('전체 WBS'!$C$1:$C$90,$N167))</x:f>
        <x:v/>
      </x:c>
      <x:c r="F167" s="89" t="str">
        <x:f>IF($M167="","",INDEX('전체 WBS'!$F$1:$F$90,$N167))</x:f>
        <x:v/>
      </x:c>
      <x:c r="G167" s="89" t="str">
        <x:f>IF($M167="","",INDEX('전체 WBS'!$G$1:$G$90,$N167))</x:f>
        <x:v/>
      </x:c>
      <x:c r="H167" s="88" t="str">
        <x:f>IF($M167="","",INDEX('전체 WBS'!$H$1:$H$90,$N167))</x:f>
        <x:v/>
      </x:c>
      <x:c r="I167" s="4" t="str">
        <x:f>IF($M167="","",INDEX('전체 WBS'!$I$1:$I$90,$N167))</x:f>
        <x:v/>
      </x:c>
      <x:c r="J167" s="4" t="str">
        <x:f>IF($M167="","",INDEX('전체 WBS'!$D$1:$D$90,$N167))</x:f>
        <x:v/>
      </x:c>
      <x:c r="K167" s="4" t="str">
        <x:f>IF($M167="","",INDEX('전체 WBS'!$E$1:$E$90,$N167))</x:f>
        <x:v/>
      </x:c>
      <x:c r="L167" s="102" t="str">
        <x:f>IF($M167="","",HYPERLINK(INDEX('전체 WBS'!$AW$1:$AW$90,$N167),"원문"))</x:f>
        <x:v/>
      </x:c>
      <x:c r="M167" s="4" t="str">
        <x:f>IF(160&lt;=COUNTIFS('전체 WBS'!$AR$10:$AV$90,"&lt;1000000000"),SMALL('전체 WBS'!$AR$10:$AV$90,160),"")</x:f>
        <x:v/>
      </x:c>
      <x:c r="N167" s="4" t="str">
        <x:f>IF($M167="","",MOD($M167,1000))</x:f>
        <x:v/>
      </x:c>
      <x:c r="O167" s="4" t="str">
        <x:f>IF($M167="","",INT($M167/100000000))</x:f>
        <x:v/>
      </x:c>
    </x:row>
    <x:row r="168" ht="31" customHeight="1">
      <x:c r="A168" s="4" t="str">
        <x:f>IF($M168="","",INDEX('전체 WBS'!$AR$9:$AV$9,1,$O168))</x:f>
        <x:v/>
      </x:c>
      <x:c r="B168" s="4" t="str">
        <x:f>IF($M168="","",IF(ISNUMBER(SEARCH($A168,INDEX('전체 WBS'!$D$1:$D$90,$N168))),"주담당","협업"))</x:f>
        <x:v/>
      </x:c>
      <x:c r="C168" s="4" t="str">
        <x:f>IF($M168="","",INDEX('전체 WBS'!$A$1:$A$90,$N168))</x:f>
        <x:v/>
      </x:c>
      <x:c r="D168" s="4" t="str">
        <x:f>IF($M168="","",INDEX('전체 WBS'!$B$1:$B$90,$N168))</x:f>
        <x:v/>
      </x:c>
      <x:c r="E168" s="4" t="str">
        <x:f>IF($M168="","",INDEX('전체 WBS'!$C$1:$C$90,$N168))</x:f>
        <x:v/>
      </x:c>
      <x:c r="F168" s="89" t="str">
        <x:f>IF($M168="","",INDEX('전체 WBS'!$F$1:$F$90,$N168))</x:f>
        <x:v/>
      </x:c>
      <x:c r="G168" s="89" t="str">
        <x:f>IF($M168="","",INDEX('전체 WBS'!$G$1:$G$90,$N168))</x:f>
        <x:v/>
      </x:c>
      <x:c r="H168" s="88" t="str">
        <x:f>IF($M168="","",INDEX('전체 WBS'!$H$1:$H$90,$N168))</x:f>
        <x:v/>
      </x:c>
      <x:c r="I168" s="4" t="str">
        <x:f>IF($M168="","",INDEX('전체 WBS'!$I$1:$I$90,$N168))</x:f>
        <x:v/>
      </x:c>
      <x:c r="J168" s="4" t="str">
        <x:f>IF($M168="","",INDEX('전체 WBS'!$D$1:$D$90,$N168))</x:f>
        <x:v/>
      </x:c>
      <x:c r="K168" s="4" t="str">
        <x:f>IF($M168="","",INDEX('전체 WBS'!$E$1:$E$90,$N168))</x:f>
        <x:v/>
      </x:c>
      <x:c r="L168" s="102" t="str">
        <x:f>IF($M168="","",HYPERLINK(INDEX('전체 WBS'!$AW$1:$AW$90,$N168),"원문"))</x:f>
        <x:v/>
      </x:c>
      <x:c r="M168" s="4" t="str">
        <x:f>IF(161&lt;=COUNTIFS('전체 WBS'!$AR$10:$AV$90,"&lt;1000000000"),SMALL('전체 WBS'!$AR$10:$AV$90,161),"")</x:f>
        <x:v/>
      </x:c>
      <x:c r="N168" s="4" t="str">
        <x:f>IF($M168="","",MOD($M168,1000))</x:f>
        <x:v/>
      </x:c>
      <x:c r="O168" s="4" t="str">
        <x:f>IF($M168="","",INT($M168/100000000))</x:f>
        <x:v/>
      </x:c>
    </x:row>
    <x:row r="169" ht="31" customHeight="1">
      <x:c r="A169" s="4" t="str">
        <x:f>IF($M169="","",INDEX('전체 WBS'!$AR$9:$AV$9,1,$O169))</x:f>
        <x:v/>
      </x:c>
      <x:c r="B169" s="4" t="str">
        <x:f>IF($M169="","",IF(ISNUMBER(SEARCH($A169,INDEX('전체 WBS'!$D$1:$D$90,$N169))),"주담당","협업"))</x:f>
        <x:v/>
      </x:c>
      <x:c r="C169" s="4" t="str">
        <x:f>IF($M169="","",INDEX('전체 WBS'!$A$1:$A$90,$N169))</x:f>
        <x:v/>
      </x:c>
      <x:c r="D169" s="4" t="str">
        <x:f>IF($M169="","",INDEX('전체 WBS'!$B$1:$B$90,$N169))</x:f>
        <x:v/>
      </x:c>
      <x:c r="E169" s="4" t="str">
        <x:f>IF($M169="","",INDEX('전체 WBS'!$C$1:$C$90,$N169))</x:f>
        <x:v/>
      </x:c>
      <x:c r="F169" s="89" t="str">
        <x:f>IF($M169="","",INDEX('전체 WBS'!$F$1:$F$90,$N169))</x:f>
        <x:v/>
      </x:c>
      <x:c r="G169" s="89" t="str">
        <x:f>IF($M169="","",INDEX('전체 WBS'!$G$1:$G$90,$N169))</x:f>
        <x:v/>
      </x:c>
      <x:c r="H169" s="88" t="str">
        <x:f>IF($M169="","",INDEX('전체 WBS'!$H$1:$H$90,$N169))</x:f>
        <x:v/>
      </x:c>
      <x:c r="I169" s="4" t="str">
        <x:f>IF($M169="","",INDEX('전체 WBS'!$I$1:$I$90,$N169))</x:f>
        <x:v/>
      </x:c>
      <x:c r="J169" s="4" t="str">
        <x:f>IF($M169="","",INDEX('전체 WBS'!$D$1:$D$90,$N169))</x:f>
        <x:v/>
      </x:c>
      <x:c r="K169" s="4" t="str">
        <x:f>IF($M169="","",INDEX('전체 WBS'!$E$1:$E$90,$N169))</x:f>
        <x:v/>
      </x:c>
      <x:c r="L169" s="102" t="str">
        <x:f>IF($M169="","",HYPERLINK(INDEX('전체 WBS'!$AW$1:$AW$90,$N169),"원문"))</x:f>
        <x:v/>
      </x:c>
      <x:c r="M169" s="4" t="str">
        <x:f>IF(162&lt;=COUNTIFS('전체 WBS'!$AR$10:$AV$90,"&lt;1000000000"),SMALL('전체 WBS'!$AR$10:$AV$90,162),"")</x:f>
        <x:v/>
      </x:c>
      <x:c r="N169" s="4" t="str">
        <x:f>IF($M169="","",MOD($M169,1000))</x:f>
        <x:v/>
      </x:c>
      <x:c r="O169" s="4" t="str">
        <x:f>IF($M169="","",INT($M169/100000000))</x:f>
        <x:v/>
      </x:c>
    </x:row>
    <x:row r="170" ht="31" customHeight="1">
      <x:c r="A170" s="4" t="str">
        <x:f>IF($M170="","",INDEX('전체 WBS'!$AR$9:$AV$9,1,$O170))</x:f>
        <x:v/>
      </x:c>
      <x:c r="B170" s="4" t="str">
        <x:f>IF($M170="","",IF(ISNUMBER(SEARCH($A170,INDEX('전체 WBS'!$D$1:$D$90,$N170))),"주담당","협업"))</x:f>
        <x:v/>
      </x:c>
      <x:c r="C170" s="4" t="str">
        <x:f>IF($M170="","",INDEX('전체 WBS'!$A$1:$A$90,$N170))</x:f>
        <x:v/>
      </x:c>
      <x:c r="D170" s="4" t="str">
        <x:f>IF($M170="","",INDEX('전체 WBS'!$B$1:$B$90,$N170))</x:f>
        <x:v/>
      </x:c>
      <x:c r="E170" s="4" t="str">
        <x:f>IF($M170="","",INDEX('전체 WBS'!$C$1:$C$90,$N170))</x:f>
        <x:v/>
      </x:c>
      <x:c r="F170" s="89" t="str">
        <x:f>IF($M170="","",INDEX('전체 WBS'!$F$1:$F$90,$N170))</x:f>
        <x:v/>
      </x:c>
      <x:c r="G170" s="89" t="str">
        <x:f>IF($M170="","",INDEX('전체 WBS'!$G$1:$G$90,$N170))</x:f>
        <x:v/>
      </x:c>
      <x:c r="H170" s="88" t="str">
        <x:f>IF($M170="","",INDEX('전체 WBS'!$H$1:$H$90,$N170))</x:f>
        <x:v/>
      </x:c>
      <x:c r="I170" s="4" t="str">
        <x:f>IF($M170="","",INDEX('전체 WBS'!$I$1:$I$90,$N170))</x:f>
        <x:v/>
      </x:c>
      <x:c r="J170" s="4" t="str">
        <x:f>IF($M170="","",INDEX('전체 WBS'!$D$1:$D$90,$N170))</x:f>
        <x:v/>
      </x:c>
      <x:c r="K170" s="4" t="str">
        <x:f>IF($M170="","",INDEX('전체 WBS'!$E$1:$E$90,$N170))</x:f>
        <x:v/>
      </x:c>
      <x:c r="L170" s="102" t="str">
        <x:f>IF($M170="","",HYPERLINK(INDEX('전체 WBS'!$AW$1:$AW$90,$N170),"원문"))</x:f>
        <x:v/>
      </x:c>
      <x:c r="M170" s="4" t="str">
        <x:f>IF(163&lt;=COUNTIFS('전체 WBS'!$AR$10:$AV$90,"&lt;1000000000"),SMALL('전체 WBS'!$AR$10:$AV$90,163),"")</x:f>
        <x:v/>
      </x:c>
      <x:c r="N170" s="4" t="str">
        <x:f>IF($M170="","",MOD($M170,1000))</x:f>
        <x:v/>
      </x:c>
      <x:c r="O170" s="4" t="str">
        <x:f>IF($M170="","",INT($M170/100000000))</x:f>
        <x:v/>
      </x:c>
    </x:row>
    <x:row r="171" ht="31" customHeight="1">
      <x:c r="A171" s="4" t="str">
        <x:f>IF($M171="","",INDEX('전체 WBS'!$AR$9:$AV$9,1,$O171))</x:f>
        <x:v/>
      </x:c>
      <x:c r="B171" s="4" t="str">
        <x:f>IF($M171="","",IF(ISNUMBER(SEARCH($A171,INDEX('전체 WBS'!$D$1:$D$90,$N171))),"주담당","협업"))</x:f>
        <x:v/>
      </x:c>
      <x:c r="C171" s="4" t="str">
        <x:f>IF($M171="","",INDEX('전체 WBS'!$A$1:$A$90,$N171))</x:f>
        <x:v/>
      </x:c>
      <x:c r="D171" s="4" t="str">
        <x:f>IF($M171="","",INDEX('전체 WBS'!$B$1:$B$90,$N171))</x:f>
        <x:v/>
      </x:c>
      <x:c r="E171" s="4" t="str">
        <x:f>IF($M171="","",INDEX('전체 WBS'!$C$1:$C$90,$N171))</x:f>
        <x:v/>
      </x:c>
      <x:c r="F171" s="89" t="str">
        <x:f>IF($M171="","",INDEX('전체 WBS'!$F$1:$F$90,$N171))</x:f>
        <x:v/>
      </x:c>
      <x:c r="G171" s="89" t="str">
        <x:f>IF($M171="","",INDEX('전체 WBS'!$G$1:$G$90,$N171))</x:f>
        <x:v/>
      </x:c>
      <x:c r="H171" s="88" t="str">
        <x:f>IF($M171="","",INDEX('전체 WBS'!$H$1:$H$90,$N171))</x:f>
        <x:v/>
      </x:c>
      <x:c r="I171" s="4" t="str">
        <x:f>IF($M171="","",INDEX('전체 WBS'!$I$1:$I$90,$N171))</x:f>
        <x:v/>
      </x:c>
      <x:c r="J171" s="4" t="str">
        <x:f>IF($M171="","",INDEX('전체 WBS'!$D$1:$D$90,$N171))</x:f>
        <x:v/>
      </x:c>
      <x:c r="K171" s="4" t="str">
        <x:f>IF($M171="","",INDEX('전체 WBS'!$E$1:$E$90,$N171))</x:f>
        <x:v/>
      </x:c>
      <x:c r="L171" s="102" t="str">
        <x:f>IF($M171="","",HYPERLINK(INDEX('전체 WBS'!$AW$1:$AW$90,$N171),"원문"))</x:f>
        <x:v/>
      </x:c>
      <x:c r="M171" s="4" t="str">
        <x:f>IF(164&lt;=COUNTIFS('전체 WBS'!$AR$10:$AV$90,"&lt;1000000000"),SMALL('전체 WBS'!$AR$10:$AV$90,164),"")</x:f>
        <x:v/>
      </x:c>
      <x:c r="N171" s="4" t="str">
        <x:f>IF($M171="","",MOD($M171,1000))</x:f>
        <x:v/>
      </x:c>
      <x:c r="O171" s="4" t="str">
        <x:f>IF($M171="","",INT($M171/100000000))</x:f>
        <x:v/>
      </x:c>
    </x:row>
    <x:row r="172" ht="31" customHeight="1">
      <x:c r="A172" s="4" t="str">
        <x:f>IF($M172="","",INDEX('전체 WBS'!$AR$9:$AV$9,1,$O172))</x:f>
        <x:v/>
      </x:c>
      <x:c r="B172" s="4" t="str">
        <x:f>IF($M172="","",IF(ISNUMBER(SEARCH($A172,INDEX('전체 WBS'!$D$1:$D$90,$N172))),"주담당","협업"))</x:f>
        <x:v/>
      </x:c>
      <x:c r="C172" s="4" t="str">
        <x:f>IF($M172="","",INDEX('전체 WBS'!$A$1:$A$90,$N172))</x:f>
        <x:v/>
      </x:c>
      <x:c r="D172" s="4" t="str">
        <x:f>IF($M172="","",INDEX('전체 WBS'!$B$1:$B$90,$N172))</x:f>
        <x:v/>
      </x:c>
      <x:c r="E172" s="4" t="str">
        <x:f>IF($M172="","",INDEX('전체 WBS'!$C$1:$C$90,$N172))</x:f>
        <x:v/>
      </x:c>
      <x:c r="F172" s="89" t="str">
        <x:f>IF($M172="","",INDEX('전체 WBS'!$F$1:$F$90,$N172))</x:f>
        <x:v/>
      </x:c>
      <x:c r="G172" s="89" t="str">
        <x:f>IF($M172="","",INDEX('전체 WBS'!$G$1:$G$90,$N172))</x:f>
        <x:v/>
      </x:c>
      <x:c r="H172" s="88" t="str">
        <x:f>IF($M172="","",INDEX('전체 WBS'!$H$1:$H$90,$N172))</x:f>
        <x:v/>
      </x:c>
      <x:c r="I172" s="4" t="str">
        <x:f>IF($M172="","",INDEX('전체 WBS'!$I$1:$I$90,$N172))</x:f>
        <x:v/>
      </x:c>
      <x:c r="J172" s="4" t="str">
        <x:f>IF($M172="","",INDEX('전체 WBS'!$D$1:$D$90,$N172))</x:f>
        <x:v/>
      </x:c>
      <x:c r="K172" s="4" t="str">
        <x:f>IF($M172="","",INDEX('전체 WBS'!$E$1:$E$90,$N172))</x:f>
        <x:v/>
      </x:c>
      <x:c r="L172" s="102" t="str">
        <x:f>IF($M172="","",HYPERLINK(INDEX('전체 WBS'!$AW$1:$AW$90,$N172),"원문"))</x:f>
        <x:v/>
      </x:c>
      <x:c r="M172" s="4" t="str">
        <x:f>IF(165&lt;=COUNTIFS('전체 WBS'!$AR$10:$AV$90,"&lt;1000000000"),SMALL('전체 WBS'!$AR$10:$AV$90,165),"")</x:f>
        <x:v/>
      </x:c>
      <x:c r="N172" s="4" t="str">
        <x:f>IF($M172="","",MOD($M172,1000))</x:f>
        <x:v/>
      </x:c>
      <x:c r="O172" s="4" t="str">
        <x:f>IF($M172="","",INT($M172/100000000))</x:f>
        <x:v/>
      </x:c>
    </x:row>
    <x:row r="173" ht="31" customHeight="1">
      <x:c r="A173" s="4" t="str">
        <x:f>IF($M173="","",INDEX('전체 WBS'!$AR$9:$AV$9,1,$O173))</x:f>
        <x:v/>
      </x:c>
      <x:c r="B173" s="4" t="str">
        <x:f>IF($M173="","",IF(ISNUMBER(SEARCH($A173,INDEX('전체 WBS'!$D$1:$D$90,$N173))),"주담당","협업"))</x:f>
        <x:v/>
      </x:c>
      <x:c r="C173" s="4" t="str">
        <x:f>IF($M173="","",INDEX('전체 WBS'!$A$1:$A$90,$N173))</x:f>
        <x:v/>
      </x:c>
      <x:c r="D173" s="4" t="str">
        <x:f>IF($M173="","",INDEX('전체 WBS'!$B$1:$B$90,$N173))</x:f>
        <x:v/>
      </x:c>
      <x:c r="E173" s="4" t="str">
        <x:f>IF($M173="","",INDEX('전체 WBS'!$C$1:$C$90,$N173))</x:f>
        <x:v/>
      </x:c>
      <x:c r="F173" s="89" t="str">
        <x:f>IF($M173="","",INDEX('전체 WBS'!$F$1:$F$90,$N173))</x:f>
        <x:v/>
      </x:c>
      <x:c r="G173" s="89" t="str">
        <x:f>IF($M173="","",INDEX('전체 WBS'!$G$1:$G$90,$N173))</x:f>
        <x:v/>
      </x:c>
      <x:c r="H173" s="88" t="str">
        <x:f>IF($M173="","",INDEX('전체 WBS'!$H$1:$H$90,$N173))</x:f>
        <x:v/>
      </x:c>
      <x:c r="I173" s="4" t="str">
        <x:f>IF($M173="","",INDEX('전체 WBS'!$I$1:$I$90,$N173))</x:f>
        <x:v/>
      </x:c>
      <x:c r="J173" s="4" t="str">
        <x:f>IF($M173="","",INDEX('전체 WBS'!$D$1:$D$90,$N173))</x:f>
        <x:v/>
      </x:c>
      <x:c r="K173" s="4" t="str">
        <x:f>IF($M173="","",INDEX('전체 WBS'!$E$1:$E$90,$N173))</x:f>
        <x:v/>
      </x:c>
      <x:c r="L173" s="102" t="str">
        <x:f>IF($M173="","",HYPERLINK(INDEX('전체 WBS'!$AW$1:$AW$90,$N173),"원문"))</x:f>
        <x:v/>
      </x:c>
      <x:c r="M173" s="4" t="str">
        <x:f>IF(166&lt;=COUNTIFS('전체 WBS'!$AR$10:$AV$90,"&lt;1000000000"),SMALL('전체 WBS'!$AR$10:$AV$90,166),"")</x:f>
        <x:v/>
      </x:c>
      <x:c r="N173" s="4" t="str">
        <x:f>IF($M173="","",MOD($M173,1000))</x:f>
        <x:v/>
      </x:c>
      <x:c r="O173" s="4" t="str">
        <x:f>IF($M173="","",INT($M173/100000000))</x:f>
        <x:v/>
      </x:c>
    </x:row>
    <x:row r="174" ht="31" customHeight="1">
      <x:c r="A174" s="4" t="str">
        <x:f>IF($M174="","",INDEX('전체 WBS'!$AR$9:$AV$9,1,$O174))</x:f>
        <x:v/>
      </x:c>
      <x:c r="B174" s="4" t="str">
        <x:f>IF($M174="","",IF(ISNUMBER(SEARCH($A174,INDEX('전체 WBS'!$D$1:$D$90,$N174))),"주담당","협업"))</x:f>
        <x:v/>
      </x:c>
      <x:c r="C174" s="4" t="str">
        <x:f>IF($M174="","",INDEX('전체 WBS'!$A$1:$A$90,$N174))</x:f>
        <x:v/>
      </x:c>
      <x:c r="D174" s="4" t="str">
        <x:f>IF($M174="","",INDEX('전체 WBS'!$B$1:$B$90,$N174))</x:f>
        <x:v/>
      </x:c>
      <x:c r="E174" s="4" t="str">
        <x:f>IF($M174="","",INDEX('전체 WBS'!$C$1:$C$90,$N174))</x:f>
        <x:v/>
      </x:c>
      <x:c r="F174" s="89" t="str">
        <x:f>IF($M174="","",INDEX('전체 WBS'!$F$1:$F$90,$N174))</x:f>
        <x:v/>
      </x:c>
      <x:c r="G174" s="89" t="str">
        <x:f>IF($M174="","",INDEX('전체 WBS'!$G$1:$G$90,$N174))</x:f>
        <x:v/>
      </x:c>
      <x:c r="H174" s="88" t="str">
        <x:f>IF($M174="","",INDEX('전체 WBS'!$H$1:$H$90,$N174))</x:f>
        <x:v/>
      </x:c>
      <x:c r="I174" s="4" t="str">
        <x:f>IF($M174="","",INDEX('전체 WBS'!$I$1:$I$90,$N174))</x:f>
        <x:v/>
      </x:c>
      <x:c r="J174" s="4" t="str">
        <x:f>IF($M174="","",INDEX('전체 WBS'!$D$1:$D$90,$N174))</x:f>
        <x:v/>
      </x:c>
      <x:c r="K174" s="4" t="str">
        <x:f>IF($M174="","",INDEX('전체 WBS'!$E$1:$E$90,$N174))</x:f>
        <x:v/>
      </x:c>
      <x:c r="L174" s="102" t="str">
        <x:f>IF($M174="","",HYPERLINK(INDEX('전체 WBS'!$AW$1:$AW$90,$N174),"원문"))</x:f>
        <x:v/>
      </x:c>
      <x:c r="M174" s="4" t="str">
        <x:f>IF(167&lt;=COUNTIFS('전체 WBS'!$AR$10:$AV$90,"&lt;1000000000"),SMALL('전체 WBS'!$AR$10:$AV$90,167),"")</x:f>
        <x:v/>
      </x:c>
      <x:c r="N174" s="4" t="str">
        <x:f>IF($M174="","",MOD($M174,1000))</x:f>
        <x:v/>
      </x:c>
      <x:c r="O174" s="4" t="str">
        <x:f>IF($M174="","",INT($M174/100000000))</x:f>
        <x:v/>
      </x:c>
    </x:row>
  </x:sheetData>
  <x:autoFilter ref="A7:L164"/>
  <x:mergeCells>
    <x:mergeCell ref="A2:L2"/>
    <x:mergeCell ref="A3:L3"/>
    <x:mergeCell ref="A4:L4"/>
    <x:mergeCell ref="A5:L5"/>
  </x:mergeCells>
  <x:conditionalFormatting sqref="H8:H8">
    <x:cfRule type="expression" dxfId="292" priority="1">
      <x:formula>$H8="완료"</x:formula>
    </x:cfRule>
    <x:cfRule type="expression" dxfId="293" priority="2">
      <x:formula>$H8="진행 중"</x:formula>
    </x:cfRule>
    <x:cfRule type="expression" dxfId="294" priority="3">
      <x:formula>$H8="막힘"</x:formula>
    </x:cfRule>
  </x:conditionalFormatting>
  <x:conditionalFormatting sqref="H9:H9">
    <x:cfRule type="expression" dxfId="295" priority="4">
      <x:formula>$H9="완료"</x:formula>
    </x:cfRule>
    <x:cfRule type="expression" dxfId="296" priority="5">
      <x:formula>$H9="진행 중"</x:formula>
    </x:cfRule>
    <x:cfRule type="expression" dxfId="297" priority="6">
      <x:formula>$H9="막힘"</x:formula>
    </x:cfRule>
  </x:conditionalFormatting>
  <x:conditionalFormatting sqref="H10:H10">
    <x:cfRule type="expression" dxfId="298" priority="7">
      <x:formula>$H10="완료"</x:formula>
    </x:cfRule>
    <x:cfRule type="expression" dxfId="299" priority="8">
      <x:formula>$H10="진행 중"</x:formula>
    </x:cfRule>
    <x:cfRule type="expression" dxfId="300" priority="9">
      <x:formula>$H10="막힘"</x:formula>
    </x:cfRule>
  </x:conditionalFormatting>
  <x:conditionalFormatting sqref="H11:H11">
    <x:cfRule type="expression" dxfId="301" priority="10">
      <x:formula>$H11="완료"</x:formula>
    </x:cfRule>
    <x:cfRule type="expression" dxfId="302" priority="11">
      <x:formula>$H11="진행 중"</x:formula>
    </x:cfRule>
    <x:cfRule type="expression" dxfId="303" priority="12">
      <x:formula>$H11="막힘"</x:formula>
    </x:cfRule>
  </x:conditionalFormatting>
  <x:conditionalFormatting sqref="H12:H12">
    <x:cfRule type="expression" dxfId="304" priority="13">
      <x:formula>$H12="완료"</x:formula>
    </x:cfRule>
    <x:cfRule type="expression" dxfId="305" priority="14">
      <x:formula>$H12="진행 중"</x:formula>
    </x:cfRule>
    <x:cfRule type="expression" dxfId="306" priority="15">
      <x:formula>$H12="막힘"</x:formula>
    </x:cfRule>
  </x:conditionalFormatting>
  <x:conditionalFormatting sqref="H13:H13">
    <x:cfRule type="expression" dxfId="307" priority="16">
      <x:formula>$H13="완료"</x:formula>
    </x:cfRule>
    <x:cfRule type="expression" dxfId="308" priority="17">
      <x:formula>$H13="진행 중"</x:formula>
    </x:cfRule>
    <x:cfRule type="expression" dxfId="309" priority="18">
      <x:formula>$H13="막힘"</x:formula>
    </x:cfRule>
  </x:conditionalFormatting>
  <x:conditionalFormatting sqref="H14:H14">
    <x:cfRule type="expression" dxfId="310" priority="19">
      <x:formula>$H14="완료"</x:formula>
    </x:cfRule>
    <x:cfRule type="expression" dxfId="311" priority="20">
      <x:formula>$H14="진행 중"</x:formula>
    </x:cfRule>
    <x:cfRule type="expression" dxfId="312" priority="21">
      <x:formula>$H14="막힘"</x:formula>
    </x:cfRule>
  </x:conditionalFormatting>
  <x:conditionalFormatting sqref="H15:H15">
    <x:cfRule type="expression" dxfId="313" priority="22">
      <x:formula>$H15="완료"</x:formula>
    </x:cfRule>
    <x:cfRule type="expression" dxfId="314" priority="23">
      <x:formula>$H15="진행 중"</x:formula>
    </x:cfRule>
    <x:cfRule type="expression" dxfId="315" priority="24">
      <x:formula>$H15="막힘"</x:formula>
    </x:cfRule>
  </x:conditionalFormatting>
  <x:conditionalFormatting sqref="H16:H16">
    <x:cfRule type="expression" dxfId="316" priority="25">
      <x:formula>$H16="완료"</x:formula>
    </x:cfRule>
    <x:cfRule type="expression" dxfId="317" priority="26">
      <x:formula>$H16="진행 중"</x:formula>
    </x:cfRule>
    <x:cfRule type="expression" dxfId="318" priority="27">
      <x:formula>$H16="막힘"</x:formula>
    </x:cfRule>
  </x:conditionalFormatting>
  <x:conditionalFormatting sqref="H17:H17">
    <x:cfRule type="expression" dxfId="319" priority="28">
      <x:formula>$H17="완료"</x:formula>
    </x:cfRule>
    <x:cfRule type="expression" dxfId="320" priority="29">
      <x:formula>$H17="진행 중"</x:formula>
    </x:cfRule>
    <x:cfRule type="expression" dxfId="321" priority="30">
      <x:formula>$H17="막힘"</x:formula>
    </x:cfRule>
  </x:conditionalFormatting>
  <x:conditionalFormatting sqref="H18:H18">
    <x:cfRule type="expression" dxfId="322" priority="31">
      <x:formula>$H18="완료"</x:formula>
    </x:cfRule>
    <x:cfRule type="expression" dxfId="323" priority="32">
      <x:formula>$H18="진행 중"</x:formula>
    </x:cfRule>
    <x:cfRule type="expression" dxfId="324" priority="33">
      <x:formula>$H18="막힘"</x:formula>
    </x:cfRule>
  </x:conditionalFormatting>
  <x:conditionalFormatting sqref="H19:H19">
    <x:cfRule type="expression" dxfId="325" priority="34">
      <x:formula>$H19="완료"</x:formula>
    </x:cfRule>
    <x:cfRule type="expression" dxfId="326" priority="35">
      <x:formula>$H19="진행 중"</x:formula>
    </x:cfRule>
    <x:cfRule type="expression" dxfId="327" priority="36">
      <x:formula>$H19="막힘"</x:formula>
    </x:cfRule>
  </x:conditionalFormatting>
  <x:conditionalFormatting sqref="H20:H20">
    <x:cfRule type="expression" dxfId="328" priority="37">
      <x:formula>$H20="완료"</x:formula>
    </x:cfRule>
    <x:cfRule type="expression" dxfId="329" priority="38">
      <x:formula>$H20="진행 중"</x:formula>
    </x:cfRule>
    <x:cfRule type="expression" dxfId="330" priority="39">
      <x:formula>$H20="막힘"</x:formula>
    </x:cfRule>
  </x:conditionalFormatting>
  <x:conditionalFormatting sqref="H21:H21">
    <x:cfRule type="expression" dxfId="331" priority="40">
      <x:formula>$H21="완료"</x:formula>
    </x:cfRule>
    <x:cfRule type="expression" dxfId="332" priority="41">
      <x:formula>$H21="진행 중"</x:formula>
    </x:cfRule>
    <x:cfRule type="expression" dxfId="333" priority="42">
      <x:formula>$H21="막힘"</x:formula>
    </x:cfRule>
  </x:conditionalFormatting>
  <x:conditionalFormatting sqref="H22:H22">
    <x:cfRule type="expression" dxfId="334" priority="43">
      <x:formula>$H22="완료"</x:formula>
    </x:cfRule>
    <x:cfRule type="expression" dxfId="335" priority="44">
      <x:formula>$H22="진행 중"</x:formula>
    </x:cfRule>
    <x:cfRule type="expression" dxfId="336" priority="45">
      <x:formula>$H22="막힘"</x:formula>
    </x:cfRule>
  </x:conditionalFormatting>
  <x:conditionalFormatting sqref="H23:H23">
    <x:cfRule type="expression" dxfId="337" priority="46">
      <x:formula>$H23="완료"</x:formula>
    </x:cfRule>
    <x:cfRule type="expression" dxfId="338" priority="47">
      <x:formula>$H23="진행 중"</x:formula>
    </x:cfRule>
    <x:cfRule type="expression" dxfId="339" priority="48">
      <x:formula>$H23="막힘"</x:formula>
    </x:cfRule>
  </x:conditionalFormatting>
  <x:conditionalFormatting sqref="H24:H24">
    <x:cfRule type="expression" dxfId="340" priority="49">
      <x:formula>$H24="완료"</x:formula>
    </x:cfRule>
    <x:cfRule type="expression" dxfId="341" priority="50">
      <x:formula>$H24="진행 중"</x:formula>
    </x:cfRule>
    <x:cfRule type="expression" dxfId="342" priority="51">
      <x:formula>$H24="막힘"</x:formula>
    </x:cfRule>
  </x:conditionalFormatting>
  <x:conditionalFormatting sqref="H25:H25">
    <x:cfRule type="expression" dxfId="343" priority="52">
      <x:formula>$H25="완료"</x:formula>
    </x:cfRule>
    <x:cfRule type="expression" dxfId="344" priority="53">
      <x:formula>$H25="진행 중"</x:formula>
    </x:cfRule>
    <x:cfRule type="expression" dxfId="345" priority="54">
      <x:formula>$H25="막힘"</x:formula>
    </x:cfRule>
  </x:conditionalFormatting>
  <x:conditionalFormatting sqref="H26:H26">
    <x:cfRule type="expression" dxfId="346" priority="55">
      <x:formula>$H26="완료"</x:formula>
    </x:cfRule>
    <x:cfRule type="expression" dxfId="347" priority="56">
      <x:formula>$H26="진행 중"</x:formula>
    </x:cfRule>
    <x:cfRule type="expression" dxfId="348" priority="57">
      <x:formula>$H26="막힘"</x:formula>
    </x:cfRule>
  </x:conditionalFormatting>
  <x:conditionalFormatting sqref="H27:H27">
    <x:cfRule type="expression" dxfId="349" priority="58">
      <x:formula>$H27="완료"</x:formula>
    </x:cfRule>
    <x:cfRule type="expression" dxfId="350" priority="59">
      <x:formula>$H27="진행 중"</x:formula>
    </x:cfRule>
    <x:cfRule type="expression" dxfId="351" priority="60">
      <x:formula>$H27="막힘"</x:formula>
    </x:cfRule>
  </x:conditionalFormatting>
  <x:conditionalFormatting sqref="H28:H28">
    <x:cfRule type="expression" dxfId="352" priority="61">
      <x:formula>$H28="완료"</x:formula>
    </x:cfRule>
    <x:cfRule type="expression" dxfId="353" priority="62">
      <x:formula>$H28="진행 중"</x:formula>
    </x:cfRule>
    <x:cfRule type="expression" dxfId="354" priority="63">
      <x:formula>$H28="막힘"</x:formula>
    </x:cfRule>
  </x:conditionalFormatting>
  <x:conditionalFormatting sqref="H29:H29">
    <x:cfRule type="expression" dxfId="355" priority="64">
      <x:formula>$H29="완료"</x:formula>
    </x:cfRule>
    <x:cfRule type="expression" dxfId="356" priority="65">
      <x:formula>$H29="진행 중"</x:formula>
    </x:cfRule>
    <x:cfRule type="expression" dxfId="357" priority="66">
      <x:formula>$H29="막힘"</x:formula>
    </x:cfRule>
  </x:conditionalFormatting>
  <x:conditionalFormatting sqref="H30:H30">
    <x:cfRule type="expression" dxfId="358" priority="67">
      <x:formula>$H30="완료"</x:formula>
    </x:cfRule>
    <x:cfRule type="expression" dxfId="359" priority="68">
      <x:formula>$H30="진행 중"</x:formula>
    </x:cfRule>
    <x:cfRule type="expression" dxfId="360" priority="69">
      <x:formula>$H30="막힘"</x:formula>
    </x:cfRule>
  </x:conditionalFormatting>
  <x:conditionalFormatting sqref="H31:H31">
    <x:cfRule type="expression" dxfId="361" priority="70">
      <x:formula>$H31="완료"</x:formula>
    </x:cfRule>
    <x:cfRule type="expression" dxfId="362" priority="71">
      <x:formula>$H31="진행 중"</x:formula>
    </x:cfRule>
    <x:cfRule type="expression" dxfId="363" priority="72">
      <x:formula>$H31="막힘"</x:formula>
    </x:cfRule>
  </x:conditionalFormatting>
  <x:conditionalFormatting sqref="H32:H32">
    <x:cfRule type="expression" dxfId="364" priority="73">
      <x:formula>$H32="완료"</x:formula>
    </x:cfRule>
    <x:cfRule type="expression" dxfId="365" priority="74">
      <x:formula>$H32="진행 중"</x:formula>
    </x:cfRule>
    <x:cfRule type="expression" dxfId="366" priority="75">
      <x:formula>$H32="막힘"</x:formula>
    </x:cfRule>
  </x:conditionalFormatting>
  <x:conditionalFormatting sqref="H33:H33">
    <x:cfRule type="expression" dxfId="367" priority="76">
      <x:formula>$H33="완료"</x:formula>
    </x:cfRule>
    <x:cfRule type="expression" dxfId="368" priority="77">
      <x:formula>$H33="진행 중"</x:formula>
    </x:cfRule>
    <x:cfRule type="expression" dxfId="369" priority="78">
      <x:formula>$H33="막힘"</x:formula>
    </x:cfRule>
  </x:conditionalFormatting>
  <x:conditionalFormatting sqref="H34:H34">
    <x:cfRule type="expression" dxfId="370" priority="79">
      <x:formula>$H34="완료"</x:formula>
    </x:cfRule>
    <x:cfRule type="expression" dxfId="371" priority="80">
      <x:formula>$H34="진행 중"</x:formula>
    </x:cfRule>
    <x:cfRule type="expression" dxfId="372" priority="81">
      <x:formula>$H34="막힘"</x:formula>
    </x:cfRule>
  </x:conditionalFormatting>
  <x:conditionalFormatting sqref="H35:H35">
    <x:cfRule type="expression" dxfId="373" priority="82">
      <x:formula>$H35="완료"</x:formula>
    </x:cfRule>
    <x:cfRule type="expression" dxfId="374" priority="83">
      <x:formula>$H35="진행 중"</x:formula>
    </x:cfRule>
    <x:cfRule type="expression" dxfId="375" priority="84">
      <x:formula>$H35="막힘"</x:formula>
    </x:cfRule>
  </x:conditionalFormatting>
  <x:conditionalFormatting sqref="H36:H36">
    <x:cfRule type="expression" dxfId="376" priority="85">
      <x:formula>$H36="완료"</x:formula>
    </x:cfRule>
    <x:cfRule type="expression" dxfId="377" priority="86">
      <x:formula>$H36="진행 중"</x:formula>
    </x:cfRule>
    <x:cfRule type="expression" dxfId="378" priority="87">
      <x:formula>$H36="막힘"</x:formula>
    </x:cfRule>
  </x:conditionalFormatting>
  <x:conditionalFormatting sqref="H37:H37">
    <x:cfRule type="expression" dxfId="379" priority="88">
      <x:formula>$H37="완료"</x:formula>
    </x:cfRule>
    <x:cfRule type="expression" dxfId="380" priority="89">
      <x:formula>$H37="진행 중"</x:formula>
    </x:cfRule>
    <x:cfRule type="expression" dxfId="381" priority="90">
      <x:formula>$H37="막힘"</x:formula>
    </x:cfRule>
  </x:conditionalFormatting>
  <x:conditionalFormatting sqref="H38:H38">
    <x:cfRule type="expression" dxfId="382" priority="91">
      <x:formula>$H38="완료"</x:formula>
    </x:cfRule>
    <x:cfRule type="expression" dxfId="383" priority="92">
      <x:formula>$H38="진행 중"</x:formula>
    </x:cfRule>
    <x:cfRule type="expression" dxfId="384" priority="93">
      <x:formula>$H38="막힘"</x:formula>
    </x:cfRule>
  </x:conditionalFormatting>
  <x:conditionalFormatting sqref="H39:H39">
    <x:cfRule type="expression" dxfId="385" priority="94">
      <x:formula>$H39="완료"</x:formula>
    </x:cfRule>
    <x:cfRule type="expression" dxfId="386" priority="95">
      <x:formula>$H39="진행 중"</x:formula>
    </x:cfRule>
    <x:cfRule type="expression" dxfId="387" priority="96">
      <x:formula>$H39="막힘"</x:formula>
    </x:cfRule>
  </x:conditionalFormatting>
  <x:conditionalFormatting sqref="H40:H40">
    <x:cfRule type="expression" dxfId="388" priority="97">
      <x:formula>$H40="완료"</x:formula>
    </x:cfRule>
    <x:cfRule type="expression" dxfId="389" priority="98">
      <x:formula>$H40="진행 중"</x:formula>
    </x:cfRule>
    <x:cfRule type="expression" dxfId="390" priority="99">
      <x:formula>$H40="막힘"</x:formula>
    </x:cfRule>
  </x:conditionalFormatting>
  <x:conditionalFormatting sqref="H41:H41">
    <x:cfRule type="expression" dxfId="391" priority="100">
      <x:formula>$H41="완료"</x:formula>
    </x:cfRule>
    <x:cfRule type="expression" dxfId="392" priority="101">
      <x:formula>$H41="진행 중"</x:formula>
    </x:cfRule>
    <x:cfRule type="expression" dxfId="393" priority="102">
      <x:formula>$H41="막힘"</x:formula>
    </x:cfRule>
  </x:conditionalFormatting>
  <x:conditionalFormatting sqref="H42:H42">
    <x:cfRule type="expression" dxfId="394" priority="103">
      <x:formula>$H42="완료"</x:formula>
    </x:cfRule>
    <x:cfRule type="expression" dxfId="395" priority="104">
      <x:formula>$H42="진행 중"</x:formula>
    </x:cfRule>
    <x:cfRule type="expression" dxfId="396" priority="105">
      <x:formula>$H42="막힘"</x:formula>
    </x:cfRule>
  </x:conditionalFormatting>
  <x:conditionalFormatting sqref="H43:H43">
    <x:cfRule type="expression" dxfId="397" priority="106">
      <x:formula>$H43="완료"</x:formula>
    </x:cfRule>
    <x:cfRule type="expression" dxfId="398" priority="107">
      <x:formula>$H43="진행 중"</x:formula>
    </x:cfRule>
    <x:cfRule type="expression" dxfId="399" priority="108">
      <x:formula>$H43="막힘"</x:formula>
    </x:cfRule>
  </x:conditionalFormatting>
  <x:conditionalFormatting sqref="H44:H44">
    <x:cfRule type="expression" dxfId="400" priority="109">
      <x:formula>$H44="완료"</x:formula>
    </x:cfRule>
    <x:cfRule type="expression" dxfId="401" priority="110">
      <x:formula>$H44="진행 중"</x:formula>
    </x:cfRule>
    <x:cfRule type="expression" dxfId="402" priority="111">
      <x:formula>$H44="막힘"</x:formula>
    </x:cfRule>
  </x:conditionalFormatting>
  <x:conditionalFormatting sqref="H45:H45">
    <x:cfRule type="expression" dxfId="403" priority="112">
      <x:formula>$H45="완료"</x:formula>
    </x:cfRule>
    <x:cfRule type="expression" dxfId="404" priority="113">
      <x:formula>$H45="진행 중"</x:formula>
    </x:cfRule>
    <x:cfRule type="expression" dxfId="405" priority="114">
      <x:formula>$H45="막힘"</x:formula>
    </x:cfRule>
  </x:conditionalFormatting>
  <x:conditionalFormatting sqref="H46:H46">
    <x:cfRule type="expression" dxfId="406" priority="115">
      <x:formula>$H46="완료"</x:formula>
    </x:cfRule>
    <x:cfRule type="expression" dxfId="407" priority="116">
      <x:formula>$H46="진행 중"</x:formula>
    </x:cfRule>
    <x:cfRule type="expression" dxfId="408" priority="117">
      <x:formula>$H46="막힘"</x:formula>
    </x:cfRule>
  </x:conditionalFormatting>
  <x:conditionalFormatting sqref="H47:H47">
    <x:cfRule type="expression" dxfId="409" priority="118">
      <x:formula>$H47="완료"</x:formula>
    </x:cfRule>
    <x:cfRule type="expression" dxfId="410" priority="119">
      <x:formula>$H47="진행 중"</x:formula>
    </x:cfRule>
    <x:cfRule type="expression" dxfId="411" priority="120">
      <x:formula>$H47="막힘"</x:formula>
    </x:cfRule>
  </x:conditionalFormatting>
  <x:conditionalFormatting sqref="H48:H48">
    <x:cfRule type="expression" dxfId="412" priority="121">
      <x:formula>$H48="완료"</x:formula>
    </x:cfRule>
    <x:cfRule type="expression" dxfId="413" priority="122">
      <x:formula>$H48="진행 중"</x:formula>
    </x:cfRule>
    <x:cfRule type="expression" dxfId="414" priority="123">
      <x:formula>$H48="막힘"</x:formula>
    </x:cfRule>
  </x:conditionalFormatting>
  <x:conditionalFormatting sqref="H49:H49">
    <x:cfRule type="expression" dxfId="415" priority="124">
      <x:formula>$H49="완료"</x:formula>
    </x:cfRule>
    <x:cfRule type="expression" dxfId="416" priority="125">
      <x:formula>$H49="진행 중"</x:formula>
    </x:cfRule>
    <x:cfRule type="expression" dxfId="417" priority="126">
      <x:formula>$H49="막힘"</x:formula>
    </x:cfRule>
  </x:conditionalFormatting>
  <x:conditionalFormatting sqref="H50:H50">
    <x:cfRule type="expression" dxfId="418" priority="127">
      <x:formula>$H50="완료"</x:formula>
    </x:cfRule>
    <x:cfRule type="expression" dxfId="419" priority="128">
      <x:formula>$H50="진행 중"</x:formula>
    </x:cfRule>
    <x:cfRule type="expression" dxfId="420" priority="129">
      <x:formula>$H50="막힘"</x:formula>
    </x:cfRule>
  </x:conditionalFormatting>
  <x:conditionalFormatting sqref="H51:H51">
    <x:cfRule type="expression" dxfId="421" priority="130">
      <x:formula>$H51="완료"</x:formula>
    </x:cfRule>
    <x:cfRule type="expression" dxfId="422" priority="131">
      <x:formula>$H51="진행 중"</x:formula>
    </x:cfRule>
    <x:cfRule type="expression" dxfId="423" priority="132">
      <x:formula>$H51="막힘"</x:formula>
    </x:cfRule>
  </x:conditionalFormatting>
  <x:conditionalFormatting sqref="H52:H52">
    <x:cfRule type="expression" dxfId="424" priority="133">
      <x:formula>$H52="완료"</x:formula>
    </x:cfRule>
    <x:cfRule type="expression" dxfId="425" priority="134">
      <x:formula>$H52="진행 중"</x:formula>
    </x:cfRule>
    <x:cfRule type="expression" dxfId="426" priority="135">
      <x:formula>$H52="막힘"</x:formula>
    </x:cfRule>
  </x:conditionalFormatting>
  <x:conditionalFormatting sqref="H53:H53">
    <x:cfRule type="expression" dxfId="427" priority="136">
      <x:formula>$H53="완료"</x:formula>
    </x:cfRule>
    <x:cfRule type="expression" dxfId="428" priority="137">
      <x:formula>$H53="진행 중"</x:formula>
    </x:cfRule>
    <x:cfRule type="expression" dxfId="429" priority="138">
      <x:formula>$H53="막힘"</x:formula>
    </x:cfRule>
  </x:conditionalFormatting>
  <x:conditionalFormatting sqref="H54:H54">
    <x:cfRule type="expression" dxfId="430" priority="139">
      <x:formula>$H54="완료"</x:formula>
    </x:cfRule>
    <x:cfRule type="expression" dxfId="431" priority="140">
      <x:formula>$H54="진행 중"</x:formula>
    </x:cfRule>
    <x:cfRule type="expression" dxfId="432" priority="141">
      <x:formula>$H54="막힘"</x:formula>
    </x:cfRule>
  </x:conditionalFormatting>
  <x:conditionalFormatting sqref="H55:H55">
    <x:cfRule type="expression" dxfId="433" priority="142">
      <x:formula>$H55="완료"</x:formula>
    </x:cfRule>
    <x:cfRule type="expression" dxfId="434" priority="143">
      <x:formula>$H55="진행 중"</x:formula>
    </x:cfRule>
    <x:cfRule type="expression" dxfId="435" priority="144">
      <x:formula>$H55="막힘"</x:formula>
    </x:cfRule>
  </x:conditionalFormatting>
  <x:conditionalFormatting sqref="H56:H56">
    <x:cfRule type="expression" dxfId="436" priority="145">
      <x:formula>$H56="완료"</x:formula>
    </x:cfRule>
    <x:cfRule type="expression" dxfId="437" priority="146">
      <x:formula>$H56="진행 중"</x:formula>
    </x:cfRule>
    <x:cfRule type="expression" dxfId="438" priority="147">
      <x:formula>$H56="막힘"</x:formula>
    </x:cfRule>
  </x:conditionalFormatting>
  <x:conditionalFormatting sqref="H57:H57">
    <x:cfRule type="expression" dxfId="439" priority="148">
      <x:formula>$H57="완료"</x:formula>
    </x:cfRule>
    <x:cfRule type="expression" dxfId="440" priority="149">
      <x:formula>$H57="진행 중"</x:formula>
    </x:cfRule>
    <x:cfRule type="expression" dxfId="441" priority="150">
      <x:formula>$H57="막힘"</x:formula>
    </x:cfRule>
  </x:conditionalFormatting>
  <x:conditionalFormatting sqref="H58:H58">
    <x:cfRule type="expression" dxfId="442" priority="151">
      <x:formula>$H58="완료"</x:formula>
    </x:cfRule>
    <x:cfRule type="expression" dxfId="443" priority="152">
      <x:formula>$H58="진행 중"</x:formula>
    </x:cfRule>
    <x:cfRule type="expression" dxfId="444" priority="153">
      <x:formula>$H58="막힘"</x:formula>
    </x:cfRule>
  </x:conditionalFormatting>
  <x:conditionalFormatting sqref="H59:H59">
    <x:cfRule type="expression" dxfId="445" priority="154">
      <x:formula>$H59="완료"</x:formula>
    </x:cfRule>
    <x:cfRule type="expression" dxfId="446" priority="155">
      <x:formula>$H59="진행 중"</x:formula>
    </x:cfRule>
    <x:cfRule type="expression" dxfId="447" priority="156">
      <x:formula>$H59="막힘"</x:formula>
    </x:cfRule>
  </x:conditionalFormatting>
  <x:conditionalFormatting sqref="H60:H60">
    <x:cfRule type="expression" dxfId="448" priority="157">
      <x:formula>$H60="완료"</x:formula>
    </x:cfRule>
    <x:cfRule type="expression" dxfId="449" priority="158">
      <x:formula>$H60="진행 중"</x:formula>
    </x:cfRule>
    <x:cfRule type="expression" dxfId="450" priority="159">
      <x:formula>$H60="막힘"</x:formula>
    </x:cfRule>
  </x:conditionalFormatting>
  <x:conditionalFormatting sqref="H61:H61">
    <x:cfRule type="expression" dxfId="451" priority="160">
      <x:formula>$H61="완료"</x:formula>
    </x:cfRule>
    <x:cfRule type="expression" dxfId="452" priority="161">
      <x:formula>$H61="진행 중"</x:formula>
    </x:cfRule>
    <x:cfRule type="expression" dxfId="453" priority="162">
      <x:formula>$H61="막힘"</x:formula>
    </x:cfRule>
  </x:conditionalFormatting>
  <x:conditionalFormatting sqref="H62:H62">
    <x:cfRule type="expression" dxfId="454" priority="163">
      <x:formula>$H62="완료"</x:formula>
    </x:cfRule>
    <x:cfRule type="expression" dxfId="455" priority="164">
      <x:formula>$H62="진행 중"</x:formula>
    </x:cfRule>
    <x:cfRule type="expression" dxfId="456" priority="165">
      <x:formula>$H62="막힘"</x:formula>
    </x:cfRule>
  </x:conditionalFormatting>
  <x:conditionalFormatting sqref="H63:H63">
    <x:cfRule type="expression" dxfId="457" priority="166">
      <x:formula>$H63="완료"</x:formula>
    </x:cfRule>
    <x:cfRule type="expression" dxfId="458" priority="167">
      <x:formula>$H63="진행 중"</x:formula>
    </x:cfRule>
    <x:cfRule type="expression" dxfId="459" priority="168">
      <x:formula>$H63="막힘"</x:formula>
    </x:cfRule>
  </x:conditionalFormatting>
  <x:conditionalFormatting sqref="H64:H64">
    <x:cfRule type="expression" dxfId="460" priority="169">
      <x:formula>$H64="완료"</x:formula>
    </x:cfRule>
    <x:cfRule type="expression" dxfId="461" priority="170">
      <x:formula>$H64="진행 중"</x:formula>
    </x:cfRule>
    <x:cfRule type="expression" dxfId="462" priority="171">
      <x:formula>$H64="막힘"</x:formula>
    </x:cfRule>
  </x:conditionalFormatting>
  <x:conditionalFormatting sqref="H65:H65">
    <x:cfRule type="expression" dxfId="463" priority="172">
      <x:formula>$H65="완료"</x:formula>
    </x:cfRule>
    <x:cfRule type="expression" dxfId="464" priority="173">
      <x:formula>$H65="진행 중"</x:formula>
    </x:cfRule>
    <x:cfRule type="expression" dxfId="465" priority="174">
      <x:formula>$H65="막힘"</x:formula>
    </x:cfRule>
  </x:conditionalFormatting>
  <x:conditionalFormatting sqref="H66:H66">
    <x:cfRule type="expression" dxfId="466" priority="175">
      <x:formula>$H66="완료"</x:formula>
    </x:cfRule>
    <x:cfRule type="expression" dxfId="467" priority="176">
      <x:formula>$H66="진행 중"</x:formula>
    </x:cfRule>
    <x:cfRule type="expression" dxfId="468" priority="177">
      <x:formula>$H66="막힘"</x:formula>
    </x:cfRule>
  </x:conditionalFormatting>
  <x:conditionalFormatting sqref="H67:H67">
    <x:cfRule type="expression" dxfId="469" priority="178">
      <x:formula>$H67="완료"</x:formula>
    </x:cfRule>
    <x:cfRule type="expression" dxfId="470" priority="179">
      <x:formula>$H67="진행 중"</x:formula>
    </x:cfRule>
    <x:cfRule type="expression" dxfId="471" priority="180">
      <x:formula>$H67="막힘"</x:formula>
    </x:cfRule>
  </x:conditionalFormatting>
  <x:conditionalFormatting sqref="H68:H68">
    <x:cfRule type="expression" dxfId="472" priority="181">
      <x:formula>$H68="완료"</x:formula>
    </x:cfRule>
    <x:cfRule type="expression" dxfId="473" priority="182">
      <x:formula>$H68="진행 중"</x:formula>
    </x:cfRule>
    <x:cfRule type="expression" dxfId="474" priority="183">
      <x:formula>$H68="막힘"</x:formula>
    </x:cfRule>
  </x:conditionalFormatting>
  <x:conditionalFormatting sqref="H69:H69">
    <x:cfRule type="expression" dxfId="475" priority="184">
      <x:formula>$H69="완료"</x:formula>
    </x:cfRule>
    <x:cfRule type="expression" dxfId="476" priority="185">
      <x:formula>$H69="진행 중"</x:formula>
    </x:cfRule>
    <x:cfRule type="expression" dxfId="477" priority="186">
      <x:formula>$H69="막힘"</x:formula>
    </x:cfRule>
  </x:conditionalFormatting>
  <x:conditionalFormatting sqref="H70:H70">
    <x:cfRule type="expression" dxfId="478" priority="187">
      <x:formula>$H70="완료"</x:formula>
    </x:cfRule>
    <x:cfRule type="expression" dxfId="479" priority="188">
      <x:formula>$H70="진행 중"</x:formula>
    </x:cfRule>
    <x:cfRule type="expression" dxfId="480" priority="189">
      <x:formula>$H70="막힘"</x:formula>
    </x:cfRule>
  </x:conditionalFormatting>
  <x:conditionalFormatting sqref="H71:H71">
    <x:cfRule type="expression" dxfId="481" priority="190">
      <x:formula>$H71="완료"</x:formula>
    </x:cfRule>
    <x:cfRule type="expression" dxfId="482" priority="191">
      <x:formula>$H71="진행 중"</x:formula>
    </x:cfRule>
    <x:cfRule type="expression" dxfId="483" priority="192">
      <x:formula>$H71="막힘"</x:formula>
    </x:cfRule>
  </x:conditionalFormatting>
  <x:conditionalFormatting sqref="H72:H72">
    <x:cfRule type="expression" dxfId="484" priority="193">
      <x:formula>$H72="완료"</x:formula>
    </x:cfRule>
    <x:cfRule type="expression" dxfId="485" priority="194">
      <x:formula>$H72="진행 중"</x:formula>
    </x:cfRule>
    <x:cfRule type="expression" dxfId="486" priority="195">
      <x:formula>$H72="막힘"</x:formula>
    </x:cfRule>
  </x:conditionalFormatting>
  <x:conditionalFormatting sqref="H73:H73">
    <x:cfRule type="expression" dxfId="487" priority="196">
      <x:formula>$H73="완료"</x:formula>
    </x:cfRule>
    <x:cfRule type="expression" dxfId="488" priority="197">
      <x:formula>$H73="진행 중"</x:formula>
    </x:cfRule>
    <x:cfRule type="expression" dxfId="489" priority="198">
      <x:formula>$H73="막힘"</x:formula>
    </x:cfRule>
  </x:conditionalFormatting>
  <x:conditionalFormatting sqref="H74:H74">
    <x:cfRule type="expression" dxfId="490" priority="199">
      <x:formula>$H74="완료"</x:formula>
    </x:cfRule>
    <x:cfRule type="expression" dxfId="491" priority="200">
      <x:formula>$H74="진행 중"</x:formula>
    </x:cfRule>
    <x:cfRule type="expression" dxfId="492" priority="201">
      <x:formula>$H74="막힘"</x:formula>
    </x:cfRule>
  </x:conditionalFormatting>
  <x:conditionalFormatting sqref="H75:H75">
    <x:cfRule type="expression" dxfId="493" priority="202">
      <x:formula>$H75="완료"</x:formula>
    </x:cfRule>
    <x:cfRule type="expression" dxfId="494" priority="203">
      <x:formula>$H75="진행 중"</x:formula>
    </x:cfRule>
    <x:cfRule type="expression" dxfId="495" priority="204">
      <x:formula>$H75="막힘"</x:formula>
    </x:cfRule>
  </x:conditionalFormatting>
  <x:conditionalFormatting sqref="H76:H76">
    <x:cfRule type="expression" dxfId="496" priority="205">
      <x:formula>$H76="완료"</x:formula>
    </x:cfRule>
    <x:cfRule type="expression" dxfId="497" priority="206">
      <x:formula>$H76="진행 중"</x:formula>
    </x:cfRule>
    <x:cfRule type="expression" dxfId="498" priority="207">
      <x:formula>$H76="막힘"</x:formula>
    </x:cfRule>
  </x:conditionalFormatting>
  <x:conditionalFormatting sqref="H77:H77">
    <x:cfRule type="expression" dxfId="499" priority="208">
      <x:formula>$H77="완료"</x:formula>
    </x:cfRule>
    <x:cfRule type="expression" dxfId="500" priority="209">
      <x:formula>$H77="진행 중"</x:formula>
    </x:cfRule>
    <x:cfRule type="expression" dxfId="501" priority="210">
      <x:formula>$H77="막힘"</x:formula>
    </x:cfRule>
  </x:conditionalFormatting>
  <x:conditionalFormatting sqref="H78:H78">
    <x:cfRule type="expression" dxfId="502" priority="211">
      <x:formula>$H78="완료"</x:formula>
    </x:cfRule>
    <x:cfRule type="expression" dxfId="503" priority="212">
      <x:formula>$H78="진행 중"</x:formula>
    </x:cfRule>
    <x:cfRule type="expression" dxfId="504" priority="213">
      <x:formula>$H78="막힘"</x:formula>
    </x:cfRule>
  </x:conditionalFormatting>
  <x:conditionalFormatting sqref="H79:H79">
    <x:cfRule type="expression" dxfId="505" priority="214">
      <x:formula>$H79="완료"</x:formula>
    </x:cfRule>
    <x:cfRule type="expression" dxfId="506" priority="215">
      <x:formula>$H79="진행 중"</x:formula>
    </x:cfRule>
    <x:cfRule type="expression" dxfId="507" priority="216">
      <x:formula>$H79="막힘"</x:formula>
    </x:cfRule>
  </x:conditionalFormatting>
  <x:conditionalFormatting sqref="H80:H80">
    <x:cfRule type="expression" dxfId="508" priority="217">
      <x:formula>$H80="완료"</x:formula>
    </x:cfRule>
    <x:cfRule type="expression" dxfId="509" priority="218">
      <x:formula>$H80="진행 중"</x:formula>
    </x:cfRule>
    <x:cfRule type="expression" dxfId="510" priority="219">
      <x:formula>$H80="막힘"</x:formula>
    </x:cfRule>
  </x:conditionalFormatting>
  <x:conditionalFormatting sqref="H81:H81">
    <x:cfRule type="expression" dxfId="511" priority="220">
      <x:formula>$H81="완료"</x:formula>
    </x:cfRule>
    <x:cfRule type="expression" dxfId="512" priority="221">
      <x:formula>$H81="진행 중"</x:formula>
    </x:cfRule>
    <x:cfRule type="expression" dxfId="513" priority="222">
      <x:formula>$H81="막힘"</x:formula>
    </x:cfRule>
  </x:conditionalFormatting>
  <x:conditionalFormatting sqref="H82:H82">
    <x:cfRule type="expression" dxfId="514" priority="223">
      <x:formula>$H82="완료"</x:formula>
    </x:cfRule>
    <x:cfRule type="expression" dxfId="515" priority="224">
      <x:formula>$H82="진행 중"</x:formula>
    </x:cfRule>
    <x:cfRule type="expression" dxfId="516" priority="225">
      <x:formula>$H82="막힘"</x:formula>
    </x:cfRule>
  </x:conditionalFormatting>
  <x:conditionalFormatting sqref="H83:H83">
    <x:cfRule type="expression" dxfId="517" priority="226">
      <x:formula>$H83="완료"</x:formula>
    </x:cfRule>
    <x:cfRule type="expression" dxfId="518" priority="227">
      <x:formula>$H83="진행 중"</x:formula>
    </x:cfRule>
    <x:cfRule type="expression" dxfId="519" priority="228">
      <x:formula>$H83="막힘"</x:formula>
    </x:cfRule>
  </x:conditionalFormatting>
  <x:conditionalFormatting sqref="H84:H84">
    <x:cfRule type="expression" dxfId="520" priority="229">
      <x:formula>$H84="완료"</x:formula>
    </x:cfRule>
    <x:cfRule type="expression" dxfId="521" priority="230">
      <x:formula>$H84="진행 중"</x:formula>
    </x:cfRule>
    <x:cfRule type="expression" dxfId="522" priority="231">
      <x:formula>$H84="막힘"</x:formula>
    </x:cfRule>
  </x:conditionalFormatting>
  <x:conditionalFormatting sqref="H85:H85">
    <x:cfRule type="expression" dxfId="523" priority="232">
      <x:formula>$H85="완료"</x:formula>
    </x:cfRule>
    <x:cfRule type="expression" dxfId="524" priority="233">
      <x:formula>$H85="진행 중"</x:formula>
    </x:cfRule>
    <x:cfRule type="expression" dxfId="525" priority="234">
      <x:formula>$H85="막힘"</x:formula>
    </x:cfRule>
  </x:conditionalFormatting>
  <x:conditionalFormatting sqref="H86:H86">
    <x:cfRule type="expression" dxfId="526" priority="235">
      <x:formula>$H86="완료"</x:formula>
    </x:cfRule>
    <x:cfRule type="expression" dxfId="527" priority="236">
      <x:formula>$H86="진행 중"</x:formula>
    </x:cfRule>
    <x:cfRule type="expression" dxfId="528" priority="237">
      <x:formula>$H86="막힘"</x:formula>
    </x:cfRule>
  </x:conditionalFormatting>
  <x:conditionalFormatting sqref="H87:H87">
    <x:cfRule type="expression" dxfId="529" priority="238">
      <x:formula>$H87="완료"</x:formula>
    </x:cfRule>
    <x:cfRule type="expression" dxfId="530" priority="239">
      <x:formula>$H87="진행 중"</x:formula>
    </x:cfRule>
    <x:cfRule type="expression" dxfId="531" priority="240">
      <x:formula>$H87="막힘"</x:formula>
    </x:cfRule>
  </x:conditionalFormatting>
  <x:conditionalFormatting sqref="H88:H88">
    <x:cfRule type="expression" dxfId="532" priority="241">
      <x:formula>$H88="완료"</x:formula>
    </x:cfRule>
    <x:cfRule type="expression" dxfId="533" priority="242">
      <x:formula>$H88="진행 중"</x:formula>
    </x:cfRule>
    <x:cfRule type="expression" dxfId="534" priority="243">
      <x:formula>$H88="막힘"</x:formula>
    </x:cfRule>
  </x:conditionalFormatting>
  <x:conditionalFormatting sqref="H89:H89">
    <x:cfRule type="expression" dxfId="535" priority="244">
      <x:formula>$H89="완료"</x:formula>
    </x:cfRule>
    <x:cfRule type="expression" dxfId="536" priority="245">
      <x:formula>$H89="진행 중"</x:formula>
    </x:cfRule>
    <x:cfRule type="expression" dxfId="537" priority="246">
      <x:formula>$H89="막힘"</x:formula>
    </x:cfRule>
  </x:conditionalFormatting>
  <x:conditionalFormatting sqref="H90:H90">
    <x:cfRule type="expression" dxfId="538" priority="247">
      <x:formula>$H90="완료"</x:formula>
    </x:cfRule>
    <x:cfRule type="expression" dxfId="539" priority="248">
      <x:formula>$H90="진행 중"</x:formula>
    </x:cfRule>
    <x:cfRule type="expression" dxfId="540" priority="249">
      <x:formula>$H90="막힘"</x:formula>
    </x:cfRule>
  </x:conditionalFormatting>
  <x:conditionalFormatting sqref="H91:H91">
    <x:cfRule type="expression" dxfId="541" priority="250">
      <x:formula>$H91="완료"</x:formula>
    </x:cfRule>
    <x:cfRule type="expression" dxfId="542" priority="251">
      <x:formula>$H91="진행 중"</x:formula>
    </x:cfRule>
    <x:cfRule type="expression" dxfId="543" priority="252">
      <x:formula>$H91="막힘"</x:formula>
    </x:cfRule>
  </x:conditionalFormatting>
  <x:conditionalFormatting sqref="H92:H92">
    <x:cfRule type="expression" dxfId="544" priority="253">
      <x:formula>$H92="완료"</x:formula>
    </x:cfRule>
    <x:cfRule type="expression" dxfId="545" priority="254">
      <x:formula>$H92="진행 중"</x:formula>
    </x:cfRule>
    <x:cfRule type="expression" dxfId="546" priority="255">
      <x:formula>$H92="막힘"</x:formula>
    </x:cfRule>
  </x:conditionalFormatting>
  <x:conditionalFormatting sqref="H93:H93">
    <x:cfRule type="expression" dxfId="547" priority="256">
      <x:formula>$H93="완료"</x:formula>
    </x:cfRule>
    <x:cfRule type="expression" dxfId="548" priority="257">
      <x:formula>$H93="진행 중"</x:formula>
    </x:cfRule>
    <x:cfRule type="expression" dxfId="549" priority="258">
      <x:formula>$H93="막힘"</x:formula>
    </x:cfRule>
  </x:conditionalFormatting>
  <x:conditionalFormatting sqref="H94:H94">
    <x:cfRule type="expression" dxfId="550" priority="259">
      <x:formula>$H94="완료"</x:formula>
    </x:cfRule>
    <x:cfRule type="expression" dxfId="551" priority="260">
      <x:formula>$H94="진행 중"</x:formula>
    </x:cfRule>
    <x:cfRule type="expression" dxfId="552" priority="261">
      <x:formula>$H94="막힘"</x:formula>
    </x:cfRule>
  </x:conditionalFormatting>
  <x:conditionalFormatting sqref="H95:H95">
    <x:cfRule type="expression" dxfId="553" priority="262">
      <x:formula>$H95="완료"</x:formula>
    </x:cfRule>
    <x:cfRule type="expression" dxfId="554" priority="263">
      <x:formula>$H95="진행 중"</x:formula>
    </x:cfRule>
    <x:cfRule type="expression" dxfId="555" priority="264">
      <x:formula>$H95="막힘"</x:formula>
    </x:cfRule>
  </x:conditionalFormatting>
  <x:conditionalFormatting sqref="H96:H96">
    <x:cfRule type="expression" dxfId="556" priority="265">
      <x:formula>$H96="완료"</x:formula>
    </x:cfRule>
    <x:cfRule type="expression" dxfId="557" priority="266">
      <x:formula>$H96="진행 중"</x:formula>
    </x:cfRule>
    <x:cfRule type="expression" dxfId="558" priority="267">
      <x:formula>$H96="막힘"</x:formula>
    </x:cfRule>
  </x:conditionalFormatting>
  <x:conditionalFormatting sqref="H97:H97">
    <x:cfRule type="expression" dxfId="559" priority="268">
      <x:formula>$H97="완료"</x:formula>
    </x:cfRule>
    <x:cfRule type="expression" dxfId="560" priority="269">
      <x:formula>$H97="진행 중"</x:formula>
    </x:cfRule>
    <x:cfRule type="expression" dxfId="561" priority="270">
      <x:formula>$H97="막힘"</x:formula>
    </x:cfRule>
  </x:conditionalFormatting>
  <x:conditionalFormatting sqref="H98:H98">
    <x:cfRule type="expression" dxfId="562" priority="271">
      <x:formula>$H98="완료"</x:formula>
    </x:cfRule>
    <x:cfRule type="expression" dxfId="563" priority="272">
      <x:formula>$H98="진행 중"</x:formula>
    </x:cfRule>
    <x:cfRule type="expression" dxfId="564" priority="273">
      <x:formula>$H98="막힘"</x:formula>
    </x:cfRule>
  </x:conditionalFormatting>
  <x:conditionalFormatting sqref="H99:H99">
    <x:cfRule type="expression" dxfId="565" priority="274">
      <x:formula>$H99="완료"</x:formula>
    </x:cfRule>
    <x:cfRule type="expression" dxfId="566" priority="275">
      <x:formula>$H99="진행 중"</x:formula>
    </x:cfRule>
    <x:cfRule type="expression" dxfId="567" priority="276">
      <x:formula>$H99="막힘"</x:formula>
    </x:cfRule>
  </x:conditionalFormatting>
  <x:conditionalFormatting sqref="H100:H100">
    <x:cfRule type="expression" dxfId="568" priority="277">
      <x:formula>$H100="완료"</x:formula>
    </x:cfRule>
    <x:cfRule type="expression" dxfId="569" priority="278">
      <x:formula>$H100="진행 중"</x:formula>
    </x:cfRule>
    <x:cfRule type="expression" dxfId="570" priority="279">
      <x:formula>$H100="막힘"</x:formula>
    </x:cfRule>
  </x:conditionalFormatting>
  <x:conditionalFormatting sqref="H101:H101">
    <x:cfRule type="expression" dxfId="571" priority="280">
      <x:formula>$H101="완료"</x:formula>
    </x:cfRule>
    <x:cfRule type="expression" dxfId="572" priority="281">
      <x:formula>$H101="진행 중"</x:formula>
    </x:cfRule>
    <x:cfRule type="expression" dxfId="573" priority="282">
      <x:formula>$H101="막힘"</x:formula>
    </x:cfRule>
  </x:conditionalFormatting>
  <x:conditionalFormatting sqref="H102:H102">
    <x:cfRule type="expression" dxfId="574" priority="283">
      <x:formula>$H102="완료"</x:formula>
    </x:cfRule>
    <x:cfRule type="expression" dxfId="575" priority="284">
      <x:formula>$H102="진행 중"</x:formula>
    </x:cfRule>
    <x:cfRule type="expression" dxfId="576" priority="285">
      <x:formula>$H102="막힘"</x:formula>
    </x:cfRule>
  </x:conditionalFormatting>
  <x:conditionalFormatting sqref="H103:H103">
    <x:cfRule type="expression" dxfId="577" priority="286">
      <x:formula>$H103="완료"</x:formula>
    </x:cfRule>
    <x:cfRule type="expression" dxfId="578" priority="287">
      <x:formula>$H103="진행 중"</x:formula>
    </x:cfRule>
    <x:cfRule type="expression" dxfId="579" priority="288">
      <x:formula>$H103="막힘"</x:formula>
    </x:cfRule>
  </x:conditionalFormatting>
  <x:conditionalFormatting sqref="H104:H104">
    <x:cfRule type="expression" dxfId="580" priority="289">
      <x:formula>$H104="완료"</x:formula>
    </x:cfRule>
    <x:cfRule type="expression" dxfId="581" priority="290">
      <x:formula>$H104="진행 중"</x:formula>
    </x:cfRule>
    <x:cfRule type="expression" dxfId="582" priority="291">
      <x:formula>$H104="막힘"</x:formula>
    </x:cfRule>
  </x:conditionalFormatting>
  <x:conditionalFormatting sqref="H105:H105">
    <x:cfRule type="expression" dxfId="583" priority="292">
      <x:formula>$H105="완료"</x:formula>
    </x:cfRule>
    <x:cfRule type="expression" dxfId="584" priority="293">
      <x:formula>$H105="진행 중"</x:formula>
    </x:cfRule>
    <x:cfRule type="expression" dxfId="585" priority="294">
      <x:formula>$H105="막힘"</x:formula>
    </x:cfRule>
  </x:conditionalFormatting>
  <x:conditionalFormatting sqref="H106:H106">
    <x:cfRule type="expression" dxfId="586" priority="295">
      <x:formula>$H106="완료"</x:formula>
    </x:cfRule>
    <x:cfRule type="expression" dxfId="587" priority="296">
      <x:formula>$H106="진행 중"</x:formula>
    </x:cfRule>
    <x:cfRule type="expression" dxfId="588" priority="297">
      <x:formula>$H106="막힘"</x:formula>
    </x:cfRule>
  </x:conditionalFormatting>
  <x:conditionalFormatting sqref="H107:H107">
    <x:cfRule type="expression" dxfId="589" priority="298">
      <x:formula>$H107="완료"</x:formula>
    </x:cfRule>
    <x:cfRule type="expression" dxfId="590" priority="299">
      <x:formula>$H107="진행 중"</x:formula>
    </x:cfRule>
    <x:cfRule type="expression" dxfId="591" priority="300">
      <x:formula>$H107="막힘"</x:formula>
    </x:cfRule>
  </x:conditionalFormatting>
  <x:conditionalFormatting sqref="H108:H108">
    <x:cfRule type="expression" dxfId="592" priority="301">
      <x:formula>$H108="완료"</x:formula>
    </x:cfRule>
    <x:cfRule type="expression" dxfId="593" priority="302">
      <x:formula>$H108="진행 중"</x:formula>
    </x:cfRule>
    <x:cfRule type="expression" dxfId="594" priority="303">
      <x:formula>$H108="막힘"</x:formula>
    </x:cfRule>
  </x:conditionalFormatting>
  <x:conditionalFormatting sqref="H109:H109">
    <x:cfRule type="expression" dxfId="595" priority="304">
      <x:formula>$H109="완료"</x:formula>
    </x:cfRule>
    <x:cfRule type="expression" dxfId="596" priority="305">
      <x:formula>$H109="진행 중"</x:formula>
    </x:cfRule>
    <x:cfRule type="expression" dxfId="597" priority="306">
      <x:formula>$H109="막힘"</x:formula>
    </x:cfRule>
  </x:conditionalFormatting>
  <x:conditionalFormatting sqref="H110:H110">
    <x:cfRule type="expression" dxfId="598" priority="307">
      <x:formula>$H110="완료"</x:formula>
    </x:cfRule>
    <x:cfRule type="expression" dxfId="599" priority="308">
      <x:formula>$H110="진행 중"</x:formula>
    </x:cfRule>
    <x:cfRule type="expression" dxfId="600" priority="309">
      <x:formula>$H110="막힘"</x:formula>
    </x:cfRule>
  </x:conditionalFormatting>
  <x:conditionalFormatting sqref="H111:H111">
    <x:cfRule type="expression" dxfId="601" priority="310">
      <x:formula>$H111="완료"</x:formula>
    </x:cfRule>
    <x:cfRule type="expression" dxfId="602" priority="311">
      <x:formula>$H111="진행 중"</x:formula>
    </x:cfRule>
    <x:cfRule type="expression" dxfId="603" priority="312">
      <x:formula>$H111="막힘"</x:formula>
    </x:cfRule>
  </x:conditionalFormatting>
  <x:conditionalFormatting sqref="H112:H112">
    <x:cfRule type="expression" dxfId="604" priority="313">
      <x:formula>$H112="완료"</x:formula>
    </x:cfRule>
    <x:cfRule type="expression" dxfId="605" priority="314">
      <x:formula>$H112="진행 중"</x:formula>
    </x:cfRule>
    <x:cfRule type="expression" dxfId="606" priority="315">
      <x:formula>$H112="막힘"</x:formula>
    </x:cfRule>
  </x:conditionalFormatting>
  <x:conditionalFormatting sqref="H113:H113">
    <x:cfRule type="expression" dxfId="607" priority="316">
      <x:formula>$H113="완료"</x:formula>
    </x:cfRule>
    <x:cfRule type="expression" dxfId="608" priority="317">
      <x:formula>$H113="진행 중"</x:formula>
    </x:cfRule>
    <x:cfRule type="expression" dxfId="609" priority="318">
      <x:formula>$H113="막힘"</x:formula>
    </x:cfRule>
  </x:conditionalFormatting>
  <x:conditionalFormatting sqref="H114:H114">
    <x:cfRule type="expression" dxfId="610" priority="319">
      <x:formula>$H114="완료"</x:formula>
    </x:cfRule>
    <x:cfRule type="expression" dxfId="611" priority="320">
      <x:formula>$H114="진행 중"</x:formula>
    </x:cfRule>
    <x:cfRule type="expression" dxfId="612" priority="321">
      <x:formula>$H114="막힘"</x:formula>
    </x:cfRule>
  </x:conditionalFormatting>
  <x:conditionalFormatting sqref="H115:H115">
    <x:cfRule type="expression" dxfId="613" priority="322">
      <x:formula>$H115="완료"</x:formula>
    </x:cfRule>
    <x:cfRule type="expression" dxfId="614" priority="323">
      <x:formula>$H115="진행 중"</x:formula>
    </x:cfRule>
    <x:cfRule type="expression" dxfId="615" priority="324">
      <x:formula>$H115="막힘"</x:formula>
    </x:cfRule>
  </x:conditionalFormatting>
  <x:conditionalFormatting sqref="H116:H116">
    <x:cfRule type="expression" dxfId="616" priority="325">
      <x:formula>$H116="완료"</x:formula>
    </x:cfRule>
    <x:cfRule type="expression" dxfId="617" priority="326">
      <x:formula>$H116="진행 중"</x:formula>
    </x:cfRule>
    <x:cfRule type="expression" dxfId="618" priority="327">
      <x:formula>$H116="막힘"</x:formula>
    </x:cfRule>
  </x:conditionalFormatting>
  <x:conditionalFormatting sqref="H117:H117">
    <x:cfRule type="expression" dxfId="619" priority="328">
      <x:formula>$H117="완료"</x:formula>
    </x:cfRule>
    <x:cfRule type="expression" dxfId="620" priority="329">
      <x:formula>$H117="진행 중"</x:formula>
    </x:cfRule>
    <x:cfRule type="expression" dxfId="621" priority="330">
      <x:formula>$H117="막힘"</x:formula>
    </x:cfRule>
  </x:conditionalFormatting>
  <x:conditionalFormatting sqref="H118:H118">
    <x:cfRule type="expression" dxfId="622" priority="331">
      <x:formula>$H118="완료"</x:formula>
    </x:cfRule>
    <x:cfRule type="expression" dxfId="623" priority="332">
      <x:formula>$H118="진행 중"</x:formula>
    </x:cfRule>
    <x:cfRule type="expression" dxfId="624" priority="333">
      <x:formula>$H118="막힘"</x:formula>
    </x:cfRule>
  </x:conditionalFormatting>
  <x:conditionalFormatting sqref="H119:H119">
    <x:cfRule type="expression" dxfId="625" priority="334">
      <x:formula>$H119="완료"</x:formula>
    </x:cfRule>
    <x:cfRule type="expression" dxfId="626" priority="335">
      <x:formula>$H119="진행 중"</x:formula>
    </x:cfRule>
    <x:cfRule type="expression" dxfId="627" priority="336">
      <x:formula>$H119="막힘"</x:formula>
    </x:cfRule>
  </x:conditionalFormatting>
  <x:conditionalFormatting sqref="H120:H120">
    <x:cfRule type="expression" dxfId="628" priority="337">
      <x:formula>$H120="완료"</x:formula>
    </x:cfRule>
    <x:cfRule type="expression" dxfId="629" priority="338">
      <x:formula>$H120="진행 중"</x:formula>
    </x:cfRule>
    <x:cfRule type="expression" dxfId="630" priority="339">
      <x:formula>$H120="막힘"</x:formula>
    </x:cfRule>
  </x:conditionalFormatting>
  <x:conditionalFormatting sqref="H121:H121">
    <x:cfRule type="expression" dxfId="631" priority="340">
      <x:formula>$H121="완료"</x:formula>
    </x:cfRule>
    <x:cfRule type="expression" dxfId="632" priority="341">
      <x:formula>$H121="진행 중"</x:formula>
    </x:cfRule>
    <x:cfRule type="expression" dxfId="633" priority="342">
      <x:formula>$H121="막힘"</x:formula>
    </x:cfRule>
  </x:conditionalFormatting>
  <x:conditionalFormatting sqref="H122:H122">
    <x:cfRule type="expression" dxfId="634" priority="343">
      <x:formula>$H122="완료"</x:formula>
    </x:cfRule>
    <x:cfRule type="expression" dxfId="635" priority="344">
      <x:formula>$H122="진행 중"</x:formula>
    </x:cfRule>
    <x:cfRule type="expression" dxfId="636" priority="345">
      <x:formula>$H122="막힘"</x:formula>
    </x:cfRule>
  </x:conditionalFormatting>
  <x:conditionalFormatting sqref="H123:H123">
    <x:cfRule type="expression" dxfId="637" priority="346">
      <x:formula>$H123="완료"</x:formula>
    </x:cfRule>
    <x:cfRule type="expression" dxfId="638" priority="347">
      <x:formula>$H123="진행 중"</x:formula>
    </x:cfRule>
    <x:cfRule type="expression" dxfId="639" priority="348">
      <x:formula>$H123="막힘"</x:formula>
    </x:cfRule>
  </x:conditionalFormatting>
  <x:conditionalFormatting sqref="H124:H124">
    <x:cfRule type="expression" dxfId="640" priority="349">
      <x:formula>$H124="완료"</x:formula>
    </x:cfRule>
    <x:cfRule type="expression" dxfId="641" priority="350">
      <x:formula>$H124="진행 중"</x:formula>
    </x:cfRule>
    <x:cfRule type="expression" dxfId="642" priority="351">
      <x:formula>$H124="막힘"</x:formula>
    </x:cfRule>
  </x:conditionalFormatting>
  <x:conditionalFormatting sqref="H125:H125">
    <x:cfRule type="expression" dxfId="643" priority="352">
      <x:formula>$H125="완료"</x:formula>
    </x:cfRule>
    <x:cfRule type="expression" dxfId="644" priority="353">
      <x:formula>$H125="진행 중"</x:formula>
    </x:cfRule>
    <x:cfRule type="expression" dxfId="645" priority="354">
      <x:formula>$H125="막힘"</x:formula>
    </x:cfRule>
  </x:conditionalFormatting>
  <x:conditionalFormatting sqref="H126:H126">
    <x:cfRule type="expression" dxfId="646" priority="355">
      <x:formula>$H126="완료"</x:formula>
    </x:cfRule>
    <x:cfRule type="expression" dxfId="647" priority="356">
      <x:formula>$H126="진행 중"</x:formula>
    </x:cfRule>
    <x:cfRule type="expression" dxfId="648" priority="357">
      <x:formula>$H126="막힘"</x:formula>
    </x:cfRule>
  </x:conditionalFormatting>
  <x:conditionalFormatting sqref="H127:H127">
    <x:cfRule type="expression" dxfId="649" priority="358">
      <x:formula>$H127="완료"</x:formula>
    </x:cfRule>
    <x:cfRule type="expression" dxfId="650" priority="359">
      <x:formula>$H127="진행 중"</x:formula>
    </x:cfRule>
    <x:cfRule type="expression" dxfId="651" priority="360">
      <x:formula>$H127="막힘"</x:formula>
    </x:cfRule>
  </x:conditionalFormatting>
  <x:conditionalFormatting sqref="H128:H128">
    <x:cfRule type="expression" dxfId="652" priority="361">
      <x:formula>$H128="완료"</x:formula>
    </x:cfRule>
    <x:cfRule type="expression" dxfId="653" priority="362">
      <x:formula>$H128="진행 중"</x:formula>
    </x:cfRule>
    <x:cfRule type="expression" dxfId="654" priority="363">
      <x:formula>$H128="막힘"</x:formula>
    </x:cfRule>
  </x:conditionalFormatting>
  <x:conditionalFormatting sqref="H129:H129">
    <x:cfRule type="expression" dxfId="655" priority="364">
      <x:formula>$H129="완료"</x:formula>
    </x:cfRule>
    <x:cfRule type="expression" dxfId="656" priority="365">
      <x:formula>$H129="진행 중"</x:formula>
    </x:cfRule>
    <x:cfRule type="expression" dxfId="657" priority="366">
      <x:formula>$H129="막힘"</x:formula>
    </x:cfRule>
  </x:conditionalFormatting>
  <x:conditionalFormatting sqref="H130:H130">
    <x:cfRule type="expression" dxfId="658" priority="367">
      <x:formula>$H130="완료"</x:formula>
    </x:cfRule>
    <x:cfRule type="expression" dxfId="659" priority="368">
      <x:formula>$H130="진행 중"</x:formula>
    </x:cfRule>
    <x:cfRule type="expression" dxfId="660" priority="369">
      <x:formula>$H130="막힘"</x:formula>
    </x:cfRule>
  </x:conditionalFormatting>
  <x:conditionalFormatting sqref="H131:H131">
    <x:cfRule type="expression" dxfId="661" priority="370">
      <x:formula>$H131="완료"</x:formula>
    </x:cfRule>
    <x:cfRule type="expression" dxfId="662" priority="371">
      <x:formula>$H131="진행 중"</x:formula>
    </x:cfRule>
    <x:cfRule type="expression" dxfId="663" priority="372">
      <x:formula>$H131="막힘"</x:formula>
    </x:cfRule>
  </x:conditionalFormatting>
  <x:conditionalFormatting sqref="H132:H132">
    <x:cfRule type="expression" dxfId="664" priority="373">
      <x:formula>$H132="완료"</x:formula>
    </x:cfRule>
    <x:cfRule type="expression" dxfId="665" priority="374">
      <x:formula>$H132="진행 중"</x:formula>
    </x:cfRule>
    <x:cfRule type="expression" dxfId="666" priority="375">
      <x:formula>$H132="막힘"</x:formula>
    </x:cfRule>
  </x:conditionalFormatting>
  <x:conditionalFormatting sqref="H133:H133">
    <x:cfRule type="expression" dxfId="667" priority="376">
      <x:formula>$H133="완료"</x:formula>
    </x:cfRule>
    <x:cfRule type="expression" dxfId="668" priority="377">
      <x:formula>$H133="진행 중"</x:formula>
    </x:cfRule>
    <x:cfRule type="expression" dxfId="669" priority="378">
      <x:formula>$H133="막힘"</x:formula>
    </x:cfRule>
  </x:conditionalFormatting>
  <x:conditionalFormatting sqref="H134:H134">
    <x:cfRule type="expression" dxfId="670" priority="379">
      <x:formula>$H134="완료"</x:formula>
    </x:cfRule>
    <x:cfRule type="expression" dxfId="671" priority="380">
      <x:formula>$H134="진행 중"</x:formula>
    </x:cfRule>
    <x:cfRule type="expression" dxfId="672" priority="381">
      <x:formula>$H134="막힘"</x:formula>
    </x:cfRule>
  </x:conditionalFormatting>
  <x:conditionalFormatting sqref="H135:H135">
    <x:cfRule type="expression" dxfId="673" priority="382">
      <x:formula>$H135="완료"</x:formula>
    </x:cfRule>
    <x:cfRule type="expression" dxfId="674" priority="383">
      <x:formula>$H135="진행 중"</x:formula>
    </x:cfRule>
    <x:cfRule type="expression" dxfId="675" priority="384">
      <x:formula>$H135="막힘"</x:formula>
    </x:cfRule>
  </x:conditionalFormatting>
  <x:conditionalFormatting sqref="H136:H136">
    <x:cfRule type="expression" dxfId="676" priority="385">
      <x:formula>$H136="완료"</x:formula>
    </x:cfRule>
    <x:cfRule type="expression" dxfId="677" priority="386">
      <x:formula>$H136="진행 중"</x:formula>
    </x:cfRule>
    <x:cfRule type="expression" dxfId="678" priority="387">
      <x:formula>$H136="막힘"</x:formula>
    </x:cfRule>
  </x:conditionalFormatting>
  <x:conditionalFormatting sqref="H137:H137">
    <x:cfRule type="expression" dxfId="679" priority="388">
      <x:formula>$H137="완료"</x:formula>
    </x:cfRule>
    <x:cfRule type="expression" dxfId="680" priority="389">
      <x:formula>$H137="진행 중"</x:formula>
    </x:cfRule>
    <x:cfRule type="expression" dxfId="681" priority="390">
      <x:formula>$H137="막힘"</x:formula>
    </x:cfRule>
  </x:conditionalFormatting>
  <x:conditionalFormatting sqref="H138:H138">
    <x:cfRule type="expression" dxfId="682" priority="391">
      <x:formula>$H138="완료"</x:formula>
    </x:cfRule>
    <x:cfRule type="expression" dxfId="683" priority="392">
      <x:formula>$H138="진행 중"</x:formula>
    </x:cfRule>
    <x:cfRule type="expression" dxfId="684" priority="393">
      <x:formula>$H138="막힘"</x:formula>
    </x:cfRule>
  </x:conditionalFormatting>
  <x:conditionalFormatting sqref="H139:H139">
    <x:cfRule type="expression" dxfId="685" priority="394">
      <x:formula>$H139="완료"</x:formula>
    </x:cfRule>
    <x:cfRule type="expression" dxfId="686" priority="395">
      <x:formula>$H139="진행 중"</x:formula>
    </x:cfRule>
    <x:cfRule type="expression" dxfId="687" priority="396">
      <x:formula>$H139="막힘"</x:formula>
    </x:cfRule>
  </x:conditionalFormatting>
  <x:conditionalFormatting sqref="H140:H140">
    <x:cfRule type="expression" dxfId="688" priority="397">
      <x:formula>$H140="완료"</x:formula>
    </x:cfRule>
    <x:cfRule type="expression" dxfId="689" priority="398">
      <x:formula>$H140="진행 중"</x:formula>
    </x:cfRule>
    <x:cfRule type="expression" dxfId="690" priority="399">
      <x:formula>$H140="막힘"</x:formula>
    </x:cfRule>
  </x:conditionalFormatting>
  <x:conditionalFormatting sqref="H141:H141">
    <x:cfRule type="expression" dxfId="691" priority="400">
      <x:formula>$H141="완료"</x:formula>
    </x:cfRule>
    <x:cfRule type="expression" dxfId="692" priority="401">
      <x:formula>$H141="진행 중"</x:formula>
    </x:cfRule>
    <x:cfRule type="expression" dxfId="693" priority="402">
      <x:formula>$H141="막힘"</x:formula>
    </x:cfRule>
  </x:conditionalFormatting>
  <x:conditionalFormatting sqref="H142:H142">
    <x:cfRule type="expression" dxfId="694" priority="403">
      <x:formula>$H142="완료"</x:formula>
    </x:cfRule>
    <x:cfRule type="expression" dxfId="695" priority="404">
      <x:formula>$H142="진행 중"</x:formula>
    </x:cfRule>
    <x:cfRule type="expression" dxfId="696" priority="405">
      <x:formula>$H142="막힘"</x:formula>
    </x:cfRule>
  </x:conditionalFormatting>
  <x:conditionalFormatting sqref="H143:H143">
    <x:cfRule type="expression" dxfId="697" priority="406">
      <x:formula>$H143="완료"</x:formula>
    </x:cfRule>
    <x:cfRule type="expression" dxfId="698" priority="407">
      <x:formula>$H143="진행 중"</x:formula>
    </x:cfRule>
    <x:cfRule type="expression" dxfId="699" priority="408">
      <x:formula>$H143="막힘"</x:formula>
    </x:cfRule>
  </x:conditionalFormatting>
  <x:conditionalFormatting sqref="H144:H144">
    <x:cfRule type="expression" dxfId="700" priority="409">
      <x:formula>$H144="완료"</x:formula>
    </x:cfRule>
    <x:cfRule type="expression" dxfId="701" priority="410">
      <x:formula>$H144="진행 중"</x:formula>
    </x:cfRule>
    <x:cfRule type="expression" dxfId="702" priority="411">
      <x:formula>$H144="막힘"</x:formula>
    </x:cfRule>
  </x:conditionalFormatting>
  <x:conditionalFormatting sqref="H145:H145">
    <x:cfRule type="expression" dxfId="703" priority="412">
      <x:formula>$H145="완료"</x:formula>
    </x:cfRule>
    <x:cfRule type="expression" dxfId="704" priority="413">
      <x:formula>$H145="진행 중"</x:formula>
    </x:cfRule>
    <x:cfRule type="expression" dxfId="705" priority="414">
      <x:formula>$H145="막힘"</x:formula>
    </x:cfRule>
  </x:conditionalFormatting>
  <x:conditionalFormatting sqref="H146:H146">
    <x:cfRule type="expression" dxfId="706" priority="415">
      <x:formula>$H146="완료"</x:formula>
    </x:cfRule>
    <x:cfRule type="expression" dxfId="707" priority="416">
      <x:formula>$H146="진행 중"</x:formula>
    </x:cfRule>
    <x:cfRule type="expression" dxfId="708" priority="417">
      <x:formula>$H146="막힘"</x:formula>
    </x:cfRule>
  </x:conditionalFormatting>
  <x:conditionalFormatting sqref="H147:H147">
    <x:cfRule type="expression" dxfId="709" priority="418">
      <x:formula>$H147="완료"</x:formula>
    </x:cfRule>
    <x:cfRule type="expression" dxfId="710" priority="419">
      <x:formula>$H147="진행 중"</x:formula>
    </x:cfRule>
    <x:cfRule type="expression" dxfId="711" priority="420">
      <x:formula>$H147="막힘"</x:formula>
    </x:cfRule>
  </x:conditionalFormatting>
  <x:conditionalFormatting sqref="H148:H148">
    <x:cfRule type="expression" dxfId="712" priority="421">
      <x:formula>$H148="완료"</x:formula>
    </x:cfRule>
    <x:cfRule type="expression" dxfId="713" priority="422">
      <x:formula>$H148="진행 중"</x:formula>
    </x:cfRule>
    <x:cfRule type="expression" dxfId="714" priority="423">
      <x:formula>$H148="막힘"</x:formula>
    </x:cfRule>
  </x:conditionalFormatting>
  <x:conditionalFormatting sqref="H149:H149">
    <x:cfRule type="expression" dxfId="715" priority="424">
      <x:formula>$H149="완료"</x:formula>
    </x:cfRule>
    <x:cfRule type="expression" dxfId="716" priority="425">
      <x:formula>$H149="진행 중"</x:formula>
    </x:cfRule>
    <x:cfRule type="expression" dxfId="717" priority="426">
      <x:formula>$H149="막힘"</x:formula>
    </x:cfRule>
  </x:conditionalFormatting>
  <x:conditionalFormatting sqref="H150:H150">
    <x:cfRule type="expression" dxfId="718" priority="427">
      <x:formula>$H150="완료"</x:formula>
    </x:cfRule>
    <x:cfRule type="expression" dxfId="719" priority="428">
      <x:formula>$H150="진행 중"</x:formula>
    </x:cfRule>
    <x:cfRule type="expression" dxfId="720" priority="429">
      <x:formula>$H150="막힘"</x:formula>
    </x:cfRule>
  </x:conditionalFormatting>
  <x:conditionalFormatting sqref="H151:H151">
    <x:cfRule type="expression" dxfId="721" priority="430">
      <x:formula>$H151="완료"</x:formula>
    </x:cfRule>
    <x:cfRule type="expression" dxfId="722" priority="431">
      <x:formula>$H151="진행 중"</x:formula>
    </x:cfRule>
    <x:cfRule type="expression" dxfId="723" priority="432">
      <x:formula>$H151="막힘"</x:formula>
    </x:cfRule>
  </x:conditionalFormatting>
  <x:conditionalFormatting sqref="H152:H152">
    <x:cfRule type="expression" dxfId="724" priority="433">
      <x:formula>$H152="완료"</x:formula>
    </x:cfRule>
    <x:cfRule type="expression" dxfId="725" priority="434">
      <x:formula>$H152="진행 중"</x:formula>
    </x:cfRule>
    <x:cfRule type="expression" dxfId="726" priority="435">
      <x:formula>$H152="막힘"</x:formula>
    </x:cfRule>
  </x:conditionalFormatting>
  <x:conditionalFormatting sqref="H153:H153">
    <x:cfRule type="expression" dxfId="727" priority="436">
      <x:formula>$H153="완료"</x:formula>
    </x:cfRule>
    <x:cfRule type="expression" dxfId="728" priority="437">
      <x:formula>$H153="진행 중"</x:formula>
    </x:cfRule>
    <x:cfRule type="expression" dxfId="729" priority="438">
      <x:formula>$H153="막힘"</x:formula>
    </x:cfRule>
  </x:conditionalFormatting>
  <x:conditionalFormatting sqref="H154:H154">
    <x:cfRule type="expression" dxfId="730" priority="439">
      <x:formula>$H154="완료"</x:formula>
    </x:cfRule>
    <x:cfRule type="expression" dxfId="731" priority="440">
      <x:formula>$H154="진행 중"</x:formula>
    </x:cfRule>
    <x:cfRule type="expression" dxfId="732" priority="441">
      <x:formula>$H154="막힘"</x:formula>
    </x:cfRule>
  </x:conditionalFormatting>
  <x:conditionalFormatting sqref="H155:H155">
    <x:cfRule type="expression" dxfId="733" priority="442">
      <x:formula>$H155="완료"</x:formula>
    </x:cfRule>
    <x:cfRule type="expression" dxfId="734" priority="443">
      <x:formula>$H155="진행 중"</x:formula>
    </x:cfRule>
    <x:cfRule type="expression" dxfId="735" priority="444">
      <x:formula>$H155="막힘"</x:formula>
    </x:cfRule>
  </x:conditionalFormatting>
  <x:conditionalFormatting sqref="H156:H156">
    <x:cfRule type="expression" dxfId="736" priority="445">
      <x:formula>$H156="완료"</x:formula>
    </x:cfRule>
    <x:cfRule type="expression" dxfId="737" priority="446">
      <x:formula>$H156="진행 중"</x:formula>
    </x:cfRule>
    <x:cfRule type="expression" dxfId="738" priority="447">
      <x:formula>$H156="막힘"</x:formula>
    </x:cfRule>
  </x:conditionalFormatting>
  <x:conditionalFormatting sqref="H157:H157">
    <x:cfRule type="expression" dxfId="739" priority="448">
      <x:formula>$H157="완료"</x:formula>
    </x:cfRule>
    <x:cfRule type="expression" dxfId="740" priority="449">
      <x:formula>$H157="진행 중"</x:formula>
    </x:cfRule>
    <x:cfRule type="expression" dxfId="741" priority="450">
      <x:formula>$H157="막힘"</x:formula>
    </x:cfRule>
  </x:conditionalFormatting>
  <x:conditionalFormatting sqref="H158:H158">
    <x:cfRule type="expression" dxfId="742" priority="451">
      <x:formula>$H158="완료"</x:formula>
    </x:cfRule>
    <x:cfRule type="expression" dxfId="743" priority="452">
      <x:formula>$H158="진행 중"</x:formula>
    </x:cfRule>
    <x:cfRule type="expression" dxfId="744" priority="453">
      <x:formula>$H158="막힘"</x:formula>
    </x:cfRule>
  </x:conditionalFormatting>
  <x:conditionalFormatting sqref="H159:H159">
    <x:cfRule type="expression" dxfId="745" priority="454">
      <x:formula>$H159="완료"</x:formula>
    </x:cfRule>
    <x:cfRule type="expression" dxfId="746" priority="455">
      <x:formula>$H159="진행 중"</x:formula>
    </x:cfRule>
    <x:cfRule type="expression" dxfId="747" priority="456">
      <x:formula>$H159="막힘"</x:formula>
    </x:cfRule>
  </x:conditionalFormatting>
  <x:conditionalFormatting sqref="H160:H160">
    <x:cfRule type="expression" dxfId="748" priority="457">
      <x:formula>$H160="완료"</x:formula>
    </x:cfRule>
    <x:cfRule type="expression" dxfId="749" priority="458">
      <x:formula>$H160="진행 중"</x:formula>
    </x:cfRule>
    <x:cfRule type="expression" dxfId="750" priority="459">
      <x:formula>$H160="막힘"</x:formula>
    </x:cfRule>
  </x:conditionalFormatting>
  <x:conditionalFormatting sqref="H161:H161">
    <x:cfRule type="expression" dxfId="751" priority="460">
      <x:formula>$H161="완료"</x:formula>
    </x:cfRule>
    <x:cfRule type="expression" dxfId="752" priority="461">
      <x:formula>$H161="진행 중"</x:formula>
    </x:cfRule>
    <x:cfRule type="expression" dxfId="753" priority="462">
      <x:formula>$H161="막힘"</x:formula>
    </x:cfRule>
  </x:conditionalFormatting>
  <x:conditionalFormatting sqref="H162:H162">
    <x:cfRule type="expression" dxfId="754" priority="463">
      <x:formula>$H162="완료"</x:formula>
    </x:cfRule>
    <x:cfRule type="expression" dxfId="755" priority="464">
      <x:formula>$H162="진행 중"</x:formula>
    </x:cfRule>
    <x:cfRule type="expression" dxfId="756" priority="465">
      <x:formula>$H162="막힘"</x:formula>
    </x:cfRule>
  </x:conditionalFormatting>
  <x:conditionalFormatting sqref="H163:H163">
    <x:cfRule type="expression" dxfId="757" priority="466">
      <x:formula>$H163="완료"</x:formula>
    </x:cfRule>
    <x:cfRule type="expression" dxfId="758" priority="467">
      <x:formula>$H163="진행 중"</x:formula>
    </x:cfRule>
    <x:cfRule type="expression" dxfId="759" priority="468">
      <x:formula>$H163="막힘"</x:formula>
    </x:cfRule>
  </x:conditionalFormatting>
  <x:conditionalFormatting sqref="H164:H164">
    <x:cfRule type="expression" dxfId="760" priority="469">
      <x:formula>$H164="완료"</x:formula>
    </x:cfRule>
    <x:cfRule type="expression" dxfId="761" priority="470">
      <x:formula>$H164="진행 중"</x:formula>
    </x:cfRule>
    <x:cfRule type="expression" dxfId="762" priority="471">
      <x:formula>$H164="막힘"</x:formula>
    </x:cfRule>
  </x:conditionalFormatting>
  <x:conditionalFormatting sqref="H165:H165">
    <x:cfRule type="expression" dxfId="763" priority="472">
      <x:formula>$H165="완료"</x:formula>
    </x:cfRule>
    <x:cfRule type="expression" dxfId="764" priority="473">
      <x:formula>$H165="진행 중"</x:formula>
    </x:cfRule>
    <x:cfRule type="expression" dxfId="765" priority="474">
      <x:formula>$H165="막힘"</x:formula>
    </x:cfRule>
  </x:conditionalFormatting>
  <x:conditionalFormatting sqref="H166:H166">
    <x:cfRule type="expression" dxfId="766" priority="475">
      <x:formula>$H166="완료"</x:formula>
    </x:cfRule>
    <x:cfRule type="expression" dxfId="767" priority="476">
      <x:formula>$H166="진행 중"</x:formula>
    </x:cfRule>
    <x:cfRule type="expression" dxfId="768" priority="477">
      <x:formula>$H166="막힘"</x:formula>
    </x:cfRule>
  </x:conditionalFormatting>
  <x:conditionalFormatting sqref="H167:H167">
    <x:cfRule type="expression" dxfId="769" priority="478">
      <x:formula>$H167="완료"</x:formula>
    </x:cfRule>
    <x:cfRule type="expression" dxfId="770" priority="479">
      <x:formula>$H167="진행 중"</x:formula>
    </x:cfRule>
    <x:cfRule type="expression" dxfId="771" priority="480">
      <x:formula>$H167="막힘"</x:formula>
    </x:cfRule>
  </x:conditionalFormatting>
  <x:conditionalFormatting sqref="H168:H168">
    <x:cfRule type="expression" dxfId="772" priority="481">
      <x:formula>$H168="완료"</x:formula>
    </x:cfRule>
    <x:cfRule type="expression" dxfId="773" priority="482">
      <x:formula>$H168="진행 중"</x:formula>
    </x:cfRule>
    <x:cfRule type="expression" dxfId="774" priority="483">
      <x:formula>$H168="막힘"</x:formula>
    </x:cfRule>
  </x:conditionalFormatting>
  <x:conditionalFormatting sqref="H169:H169">
    <x:cfRule type="expression" dxfId="775" priority="484">
      <x:formula>$H169="완료"</x:formula>
    </x:cfRule>
    <x:cfRule type="expression" dxfId="776" priority="485">
      <x:formula>$H169="진행 중"</x:formula>
    </x:cfRule>
    <x:cfRule type="expression" dxfId="777" priority="486">
      <x:formula>$H169="막힘"</x:formula>
    </x:cfRule>
  </x:conditionalFormatting>
  <x:conditionalFormatting sqref="H170:H170">
    <x:cfRule type="expression" dxfId="778" priority="487">
      <x:formula>$H170="완료"</x:formula>
    </x:cfRule>
    <x:cfRule type="expression" dxfId="779" priority="488">
      <x:formula>$H170="진행 중"</x:formula>
    </x:cfRule>
    <x:cfRule type="expression" dxfId="780" priority="489">
      <x:formula>$H170="막힘"</x:formula>
    </x:cfRule>
  </x:conditionalFormatting>
  <x:conditionalFormatting sqref="H171:H171">
    <x:cfRule type="expression" dxfId="781" priority="490">
      <x:formula>$H171="완료"</x:formula>
    </x:cfRule>
    <x:cfRule type="expression" dxfId="782" priority="491">
      <x:formula>$H171="진행 중"</x:formula>
    </x:cfRule>
    <x:cfRule type="expression" dxfId="783" priority="492">
      <x:formula>$H171="막힘"</x:formula>
    </x:cfRule>
  </x:conditionalFormatting>
  <x:conditionalFormatting sqref="H172:H172">
    <x:cfRule type="expression" dxfId="784" priority="493">
      <x:formula>$H172="완료"</x:formula>
    </x:cfRule>
    <x:cfRule type="expression" dxfId="785" priority="494">
      <x:formula>$H172="진행 중"</x:formula>
    </x:cfRule>
    <x:cfRule type="expression" dxfId="786" priority="495">
      <x:formula>$H172="막힘"</x:formula>
    </x:cfRule>
  </x:conditionalFormatting>
  <x:conditionalFormatting sqref="H173:H173">
    <x:cfRule type="expression" dxfId="787" priority="496">
      <x:formula>$H173="완료"</x:formula>
    </x:cfRule>
    <x:cfRule type="expression" dxfId="788" priority="497">
      <x:formula>$H173="진행 중"</x:formula>
    </x:cfRule>
    <x:cfRule type="expression" dxfId="789" priority="498">
      <x:formula>$H173="막힘"</x:formula>
    </x:cfRule>
  </x:conditionalFormatting>
  <x:conditionalFormatting sqref="H174:H174">
    <x:cfRule type="expression" dxfId="790" priority="499">
      <x:formula>$H174="완료"</x:formula>
    </x:cfRule>
    <x:cfRule type="expression" dxfId="791" priority="500">
      <x:formula>$H174="진행 중"</x:formula>
    </x:cfRule>
    <x:cfRule type="expression" dxfId="792" priority="501">
      <x:formula>$H174="막힘"</x:formula>
    </x:cfRule>
  </x:conditionalFormatting>
  <x:conditionalFormatting sqref="A8:L164">
    <x:cfRule type="expression" dxfId="793" priority="502">
      <x:formula>AND($A8&lt;&gt;$A7,$A8&lt;&gt;"")</x:formula>
    </x:cfRule>
  </x:conditionalFormatting>
  <x:printOptions horizontalCentered="1" gridLines="0" headings="0"/>
  <x:pageMargins left="0.22" right="0.22" top="0.30" bottom="0.30" header="0.12" footer="0.12"/>
  <x:pageSetup paperSize="9" orientation="landscape" fitToWidth="1" fitToHeight="0" pageOrder="downThenOver"/>
  <x:headerFooter>
    <x:oddFooter>&amp;LTeam Blocks  2026.10.22&amp;C담당별 일정&amp;R&amp;P / &amp;N</x:oddFooter>
  </x:headerFooter>
</x:worksheet>
</file>

<file path=xl/worksheets/sheet3.xml><?xml version="1.0" encoding="utf-8"?>
<x:worksheet xmlns:x="http://schemas.openxmlformats.org/spreadsheetml/2006/main">
  <x:sheetPr>
    <x:tabColor rgb="FF516A85"/>
    <x:pageSetUpPr fitToPage="1" autoPageBreaks="0"/>
  </x:sheetPr>
  <x:sheetViews>
    <x:sheetView showGridLines="0" workbookViewId="0" zoomScale="95" topLeftCell="A1">
      <x:pane ySplit="7" topLeftCell="A8" activePane="bottomLeft" state="frozen"/>
    </x:sheetView>
  </x:sheetViews>
  <x:sheetFormatPr defaultRowHeight="15"/>
  <x:cols>
    <x:col min="1" max="1" width="9.72" hidden="0" customWidth="1"/>
    <x:col min="2" max="2" width="12.8571" hidden="0" customWidth="1"/>
    <x:col min="3" max="3" width="33" hidden="0" customWidth="1"/>
    <x:col min="4" max="4" width="16.5729" hidden="0" customWidth="1"/>
    <x:col min="5" max="5" width="28" hidden="0" customWidth="1"/>
    <x:col min="6" max="6" width="19.4271" hidden="0" customWidth="1"/>
    <x:col min="7" max="7" width="45" hidden="0" customWidth="1"/>
    <x:col min="8" max="8" width="9.2829" hidden="0" customWidth="1"/>
    <x:col min="9" max="9" width="9" hidden="0" customWidth="1"/>
    <x:col min="10" max="10" width="10.0029" hidden="1" customWidth="1"/>
  </x:cols>
  <x:sheetData>
    <x:row r="1">
      <x:c r="A1" s="4"/>
      <x:c r="B1" s="4"/>
      <x:c r="C1" s="4"/>
      <x:c r="D1" s="4"/>
      <x:c r="E1" s="4"/>
      <x:c r="F1" s="4"/>
      <x:c r="G1" s="4"/>
      <x:c r="H1" s="4"/>
      <x:c r="I1" s="4"/>
      <x:c r="J1" s="4"/>
    </x:row>
    <x:row r="2" ht="30" customHeight="1">
      <x:c r="A2" s="5" t="str">
        <x:v>OTTer Shield   주요 마감·의존관계</x:v>
      </x:c>
      <x:c r="B2" s="5"/>
      <x:c r="C2" s="5"/>
      <x:c r="D2" s="5"/>
      <x:c r="E2" s="5"/>
      <x:c r="F2" s="5"/>
      <x:c r="G2" s="5"/>
      <x:c r="H2" s="5"/>
      <x:c r="I2" s="5"/>
      <x:c r="J2" s="4"/>
    </x:row>
    <x:row r="3" ht="24" customHeight="1">
      <x:c r="A3" s="8" t="str">
        <x:v>마감·담당·상태는 전체 WBS 원본 연결. 같은 날 선행과 부분 확인 후 착수를 구분합니다.</x:v>
      </x:c>
      <x:c r="B3" s="8"/>
      <x:c r="C3" s="8"/>
      <x:c r="D3" s="8"/>
      <x:c r="E3" s="8"/>
      <x:c r="F3" s="8"/>
      <x:c r="G3" s="8"/>
      <x:c r="H3" s="8"/>
      <x:c r="I3" s="8"/>
      <x:c r="J3" s="4"/>
    </x:row>
    <x:row r="4" ht="24" customHeight="1">
      <x:c r="A4" s="103" t="str">
        <x:v>AS-IS 구축·통신 검증 → 공격 재현·원인 분석 → TO-BE 설계·적용 → 동일 조건 재검증. 개발 병행.</x:v>
      </x:c>
      <x:c r="B4" s="103"/>
      <x:c r="C4" s="103"/>
      <x:c r="D4" s="103"/>
      <x:c r="E4" s="103"/>
      <x:c r="F4" s="103"/>
      <x:c r="G4" s="103"/>
      <x:c r="H4" s="103"/>
      <x:c r="I4" s="103"/>
      <x:c r="J4" s="4"/>
    </x:row>
    <x:row r="5" ht="24" customHeight="1">
      <x:c r="A5" s="104" t="str">
        <x:v>10/23 환경·공수 → 10/28 기본망·OTT → 10/30 배포·Store → 11/06 통합 → 11/16 발표</x:v>
      </x:c>
      <x:c r="B5" s="104"/>
      <x:c r="C5" s="104"/>
      <x:c r="D5" s="104"/>
      <x:c r="E5" s="104"/>
      <x:c r="F5" s="104"/>
      <x:c r="G5" s="104"/>
      <x:c r="H5" s="104"/>
      <x:c r="I5" s="104"/>
      <x:c r="J5" s="4"/>
    </x:row>
    <x:row r="6">
      <x:c r="A6" s="4"/>
      <x:c r="B6" s="4"/>
      <x:c r="C6" s="4"/>
      <x:c r="D6" s="4"/>
      <x:c r="E6" s="4"/>
      <x:c r="F6" s="4"/>
      <x:c r="G6" s="4"/>
      <x:c r="H6" s="4"/>
      <x:c r="I6" s="4"/>
      <x:c r="J6" s="4"/>
    </x:row>
    <x:row r="7" ht="28" customHeight="1">
      <x:c r="A7" s="21" t="str">
        <x:v>마감일</x:v>
      </x:c>
      <x:c r="B7" s="21" t="str">
        <x:v>WBS ID</x:v>
      </x:c>
      <x:c r="C7" s="21" t="str">
        <x:v>업무·인계</x:v>
      </x:c>
      <x:c r="D7" s="21" t="str">
        <x:v>주담당</x:v>
      </x:c>
      <x:c r="E7" s="21" t="str">
        <x:v>협업 담당</x:v>
      </x:c>
      <x:c r="F7" s="21" t="str">
        <x:v>선행 업무 ID</x:v>
      </x:c>
      <x:c r="G7" s="21" t="str">
        <x:v>인계 조건·순서</x:v>
      </x:c>
      <x:c r="H7" s="21" t="str">
        <x:v>상태</x:v>
      </x:c>
      <x:c r="I7" s="21" t="str">
        <x:v>Issue</x:v>
      </x:c>
      <x:c r="J7" s="4"/>
    </x:row>
    <x:row r="8" ht="36" customHeight="1">
      <x:c r="A8" s="107" t="str">
        <x:f>INDEX('전체 WBS'!$G$1:$G$90,$J8)</x:f>
        <x:v>46318</x:v>
      </x:c>
      <x:c r="B8" s="30" t="str">
        <x:v>C6.1</x:v>
      </x:c>
      <x:c r="C8" s="30" t="str">
        <x:f>INDEX('전체 WBS'!$C$1:$C$90,$J8)</x:f>
        <x:v>IP·구축 환경 기술 검토·계획서 개정</x:v>
      </x:c>
      <x:c r="D8" s="30" t="str">
        <x:f>INDEX('전체 WBS'!$D$1:$D$90,$J8)</x:f>
        <x:v>M5 유은혜(PM)</x:v>
      </x:c>
      <x:c r="E8" s="30" t="str">
        <x:f>INDEX('전체 WBS'!$E$1:$E$90,$J8)</x:f>
        <x:v>M3 홍은서 · M1 유용수
M2 윤서영 · M4 박진혁</x:v>
      </x:c>
      <x:c r="F8" s="30" t="str">
        <x:f>INDEX('전체 WBS'!$I$1:$I$90,$J8)</x:f>
        <x:v>I01, I02, I03, I04, I05</x:v>
      </x:c>
      <x:c r="G8" s="30" t="str">
        <x:f>INDEX('전체 WBS'!$AY$1:$AY$90,$J8)</x:f>
        <x:v>IP/NIC·반환 경로·자원은 각 망 제출, M1 취합·PL 검토. 계획서 제출과 기술 검토 구분; 필요 시 개정.</x:v>
      </x:c>
      <x:c r="H8" s="30" t="str">
        <x:f>INDEX('전체 WBS'!$H$1:$H$90,$J8)</x:f>
        <x:v>진행 중</x:v>
      </x:c>
      <x:c r="I8" s="110" t="str">
        <x:f>HYPERLINK(INDEX('전체 WBS'!$AW$1:$AW$90,$J8),"원문")</x:f>
        <x:v>원문</x:v>
      </x:c>
      <x:c r="J8" s="4" t="n">
        <x:f>MATCH($B8,'전체 WBS'!$A$1:$A$90,0)</x:f>
        <x:v>16.0</x:v>
      </x:c>
    </x:row>
    <x:row r="9" ht="36" customHeight="1">
      <x:c r="A9" s="108" t="str">
        <x:f>INDEX('전체 WBS'!$G$1:$G$90,$J9)</x:f>
        <x:v>46318</x:v>
      </x:c>
      <x:c r="B9" s="31" t="str">
        <x:v>C12.1</x:v>
      </x:c>
      <x:c r="C9" s="31" t="str">
        <x:f>INDEX('전체 WBS'!$C$1:$C$90,$J9)</x:f>
        <x:v>AWS 권한·예산·API 연결 검토</x:v>
      </x:c>
      <x:c r="D9" s="31" t="str">
        <x:f>INDEX('전체 WBS'!$D$1:$D$90,$J9)</x:f>
        <x:v>M5 유은혜(PM)</x:v>
      </x:c>
      <x:c r="E9" s="31" t="str">
        <x:f>INDEX('전체 WBS'!$E$1:$E$90,$J9)</x:f>
        <x:v>M1 유용수 · M3 홍은서
M4 박진혁</x:v>
      </x:c>
      <x:c r="F9" s="31" t="str">
        <x:f>INDEX('전체 WBS'!$I$1:$I$90,$J9)</x:f>
        <x:v>C6.1</x:v>
      </x:c>
      <x:c r="G9" s="31" t="str">
        <x:f>INDEX('전체 WBS'!$AY$1:$AY$90,$J9)</x:f>
        <x:v>C6.1의 AWS 관련 확인값부터 병행. 계정·권한·예산·한국 API 공개 경로 검토; 실제 생성 전 확인.</x:v>
      </x:c>
      <x:c r="H9" s="31" t="str">
        <x:f>INDEX('전체 WBS'!$H$1:$H$90,$J9)</x:f>
        <x:v>미확인</x:v>
      </x:c>
      <x:c r="I9" s="111" t="str">
        <x:f>HYPERLINK(INDEX('전체 WBS'!$AW$1:$AW$90,$J9),"원문")</x:f>
        <x:v>원문</x:v>
      </x:c>
      <x:c r="J9" s="4" t="n">
        <x:f>MATCH($B9,'전체 WBS'!$A$1:$A$90,0)</x:f>
        <x:v>26.0</x:v>
      </x:c>
    </x:row>
    <x:row r="10" ht="36" customHeight="1">
      <x:c r="A10" s="108" t="str">
        <x:f>INDEX('전체 WBS'!$G$1:$G$90,$J10)</x:f>
        <x:v>46318</x:v>
      </x:c>
      <x:c r="B10" s="31" t="str">
        <x:v>D1</x:v>
      </x:c>
      <x:c r="C10" s="31" t="str">
        <x:f>INDEX('전체 WBS'!$C$1:$C$90,$J10)</x:f>
        <x:v>실행 환경 정의·ERD·클래스 설계</x:v>
      </x:c>
      <x:c r="D10" s="31" t="str">
        <x:f>INDEX('전체 WBS'!$D$1:$D$90,$J10)</x:f>
        <x:v>M5 유은혜(PM)</x:v>
      </x:c>
      <x:c r="E10" s="31" t="str">
        <x:f>INDEX('전체 WBS'!$E$1:$E$90,$J10)</x:f>
        <x:v>M1 유용수 · M2 윤서영
M3 홍은서</x:v>
      </x:c>
      <x:c r="F10" s="31" t="str">
        <x:f>INDEX('전체 WBS'!$I$1:$I$90,$J10)</x:f>
        <x:v>—</x:v>
      </x:c>
      <x:c r="G10" s="31" t="str">
        <x:f>INDEX('전체 WBS'!$AY$1:$AY$90,$J10)</x:f>
        <x:v>10/22 초안·10/23 검토. 게시판 API/DB·환경변수·실행 명령은 확정 구간부터 M1/M2에 인계.</x:v>
      </x:c>
      <x:c r="H10" s="31" t="str">
        <x:f>INDEX('전체 WBS'!$H$1:$H$90,$J10)</x:f>
        <x:v>미확인</x:v>
      </x:c>
      <x:c r="I10" s="111" t="str">
        <x:f>HYPERLINK(INDEX('전체 WBS'!$AW$1:$AW$90,$J10),"원문")</x:f>
        <x:v>원문</x:v>
      </x:c>
      <x:c r="J10" s="4" t="n">
        <x:f>MATCH($B10,'전체 WBS'!$A$1:$A$90,0)</x:f>
        <x:v>30.0</x:v>
      </x:c>
    </x:row>
    <x:row r="11" ht="36" customHeight="1">
      <x:c r="A11" s="108" t="str">
        <x:f>INDEX('전체 WBS'!$G$1:$G$90,$J11)</x:f>
        <x:v>46323</x:v>
      </x:c>
      <x:c r="B11" s="31" t="str">
        <x:v>D3</x:v>
      </x:c>
      <x:c r="C11" s="31" t="str">
        <x:f>INDEX('전체 WBS'!$C$1:$C$90,$J11)</x:f>
        <x:v>OTT 로그인·목록·영상 재생 개발</x:v>
      </x:c>
      <x:c r="D11" s="31" t="str">
        <x:f>INDEX('전체 WBS'!$D$1:$D$90,$J11)</x:f>
        <x:v>M5 유은혜(PM)</x:v>
      </x:c>
      <x:c r="E11" s="31" t="str">
        <x:f>INDEX('전체 WBS'!$E$1:$E$90,$J11)</x:f>
        <x:v>M3 홍은서</x:v>
      </x:c>
      <x:c r="F11" s="31" t="str">
        <x:f>INDEX('전체 WBS'!$I$1:$I$90,$J11)</x:f>
        <x:v>D1</x:v>
      </x:c>
      <x:c r="G11" s="31" t="str">
        <x:f>INDEX('전체 WBS'!$AY$1:$AY$90,$J11)</x:f>
        <x:v>로그인·권한·목록·샘플 재생 및 로컬 DB 확인</x:v>
      </x:c>
      <x:c r="H11" s="31" t="str">
        <x:f>INDEX('전체 WBS'!$H$1:$H$90,$J11)</x:f>
        <x:v>미확인</x:v>
      </x:c>
      <x:c r="I11" s="111" t="str">
        <x:f>HYPERLINK(INDEX('전체 WBS'!$AW$1:$AW$90,$J11),"원문")</x:f>
        <x:v>원문</x:v>
      </x:c>
      <x:c r="J11" s="4" t="n">
        <x:f>MATCH($B11,'전체 WBS'!$A$1:$A$90,0)</x:f>
        <x:v>32.0</x:v>
      </x:c>
    </x:row>
    <x:row r="12" ht="36" customHeight="1">
      <x:c r="A12" s="108" t="str">
        <x:f>INDEX('전체 WBS'!$G$1:$G$90,$J12)</x:f>
        <x:v>46323</x:v>
      </x:c>
      <x:c r="B12" s="31" t="str">
        <x:v>C7</x:v>
      </x:c>
      <x:c r="C12" s="31" t="str">
        <x:f>INDEX('전체 WBS'!$C$1:$C$90,$J12)</x:f>
        <x:v>망 간 라우팅·VPN 구성 및 검증</x:v>
      </x:c>
      <x:c r="D12" s="31" t="str">
        <x:f>INDEX('전체 WBS'!$D$1:$D$90,$J12)</x:f>
        <x:v>M1 유용수</x:v>
      </x:c>
      <x:c r="E12" s="31" t="str">
        <x:f>INDEX('전체 WBS'!$E$1:$E$90,$J12)</x:f>
        <x:v>M2 윤서영 · M3 홍은서
M4 박진혁 · M5 유은혜</x:v>
      </x:c>
      <x:c r="F12" s="31" t="str">
        <x:f>INDEX('전체 WBS'!$I$1:$I$90,$J12)</x:f>
        <x:v>C6.1, I14, I19, I24, I29, I34</x:v>
      </x:c>
      <x:c r="G12" s="31" t="str">
        <x:f>INDEX('전체 WBS'!$AY$1:$AY$90,$J12)</x:f>
        <x:v>대표 장비·해당 구간 주소/NIC 검토 후 부분 착수. M1–M3 일반 라우팅, 나머지 VPN은 기존 범위 유지.</x:v>
      </x:c>
      <x:c r="H12" s="31" t="str">
        <x:f>INDEX('전체 WBS'!$H$1:$H$90,$J12)</x:f>
        <x:v>미확인</x:v>
      </x:c>
      <x:c r="I12" s="111" t="str">
        <x:f>HYPERLINK(INDEX('전체 WBS'!$AW$1:$AW$90,$J12),"원문")</x:f>
        <x:v>원문</x:v>
      </x:c>
      <x:c r="J12" s="4" t="n">
        <x:f>MATCH($B12,'전체 WBS'!$A$1:$A$90,0)</x:f>
        <x:v>23.0</x:v>
      </x:c>
    </x:row>
    <x:row r="13" ht="36" customHeight="1">
      <x:c r="A13" s="108" t="str">
        <x:f>INDEX('전체 WBS'!$G$1:$G$90,$J13)</x:f>
        <x:v>46325</x:v>
      </x:c>
      <x:c r="B13" s="31" t="str">
        <x:v>D4.1</x:v>
      </x:c>
      <x:c r="C13" s="31" t="str">
        <x:f>INDEX('전체 WBS'!$C$1:$C$90,$J13)</x:f>
        <x:v>한국 게시판 서버 배포</x:v>
      </x:c>
      <x:c r="D13" s="31" t="str">
        <x:f>INDEX('전체 WBS'!$D$1:$D$90,$J13)</x:f>
        <x:v>M1 유용수</x:v>
      </x:c>
      <x:c r="E13" s="31" t="str">
        <x:f>INDEX('전체 WBS'!$E$1:$E$90,$J13)</x:f>
        <x:v>M5 유은혜</x:v>
      </x:c>
      <x:c r="F13" s="31" t="str">
        <x:f>INDEX('전체 WBS'!$I$1:$I$90,$J13)</x:f>
        <x:v>D2, I14, C7</x:v>
      </x:c>
      <x:c r="G13" s="31" t="str">
        <x:f>INDEX('전체 WBS'!$AY$1:$AY$90,$J13)</x:f>
        <x:v>M5 코드·DB 규격 인계 후 한국 게시판 정상 요청</x:v>
      </x:c>
      <x:c r="H13" s="31" t="str">
        <x:f>INDEX('전체 WBS'!$H$1:$H$90,$J13)</x:f>
        <x:v>미확인</x:v>
      </x:c>
      <x:c r="I13" s="111" t="str">
        <x:f>HYPERLINK(INDEX('전체 WBS'!$AW$1:$AW$90,$J13),"원문")</x:f>
        <x:v>원문</x:v>
      </x:c>
      <x:c r="J13" s="4" t="n">
        <x:f>MATCH($B13,'전체 WBS'!$A$1:$A$90,0)</x:f>
        <x:v>33.0</x:v>
      </x:c>
    </x:row>
    <x:row r="14" ht="36" customHeight="1">
      <x:c r="A14" s="108" t="str">
        <x:f>INDEX('전체 WBS'!$G$1:$G$90,$J14)</x:f>
        <x:v>46325</x:v>
      </x:c>
      <x:c r="B14" s="31" t="str">
        <x:v>D4.2</x:v>
      </x:c>
      <x:c r="C14" s="31" t="str">
        <x:f>INDEX('전체 WBS'!$C$1:$C$90,$J14)</x:f>
        <x:v>독일 게시판 서버 배포</x:v>
      </x:c>
      <x:c r="D14" s="31" t="str">
        <x:f>INDEX('전체 WBS'!$D$1:$D$90,$J14)</x:f>
        <x:v>M2 윤서영</x:v>
      </x:c>
      <x:c r="E14" s="31" t="str">
        <x:f>INDEX('전체 WBS'!$E$1:$E$90,$J14)</x:f>
        <x:v>M5 유은혜</x:v>
      </x:c>
      <x:c r="F14" s="31" t="str">
        <x:f>INDEX('전체 WBS'!$I$1:$I$90,$J14)</x:f>
        <x:v>D2, I19, C7</x:v>
      </x:c>
      <x:c r="G14" s="31" t="str">
        <x:f>INDEX('전체 WBS'!$AY$1:$AY$90,$J14)</x:f>
        <x:v>공통 코드와 독일 DB·계정 분리 / 정상 요청</x:v>
      </x:c>
      <x:c r="H14" s="31" t="str">
        <x:f>INDEX('전체 WBS'!$H$1:$H$90,$J14)</x:f>
        <x:v>미확인</x:v>
      </x:c>
      <x:c r="I14" s="111" t="str">
        <x:f>HYPERLINK(INDEX('전체 WBS'!$AW$1:$AW$90,$J14),"원문")</x:f>
        <x:v>원문</x:v>
      </x:c>
      <x:c r="J14" s="4" t="n">
        <x:f>MATCH($B14,'전체 WBS'!$A$1:$A$90,0)</x:f>
        <x:v>34.0</x:v>
      </x:c>
    </x:row>
    <x:row r="15" ht="36" customHeight="1">
      <x:c r="A15" s="108" t="str">
        <x:f>INDEX('전체 WBS'!$G$1:$G$90,$J15)</x:f>
        <x:v>46325</x:v>
      </x:c>
      <x:c r="B15" s="31" t="str">
        <x:v>D4.3</x:v>
      </x:c>
      <x:c r="C15" s="31" t="str">
        <x:f>INDEX('전체 WBS'!$C$1:$C$90,$J15)</x:f>
        <x:v>한국 OTT 서버 배포</x:v>
      </x:c>
      <x:c r="D15" s="31" t="str">
        <x:f>INDEX('전체 WBS'!$D$1:$D$90,$J15)</x:f>
        <x:v>M3 홍은서(PL)</x:v>
      </x:c>
      <x:c r="E15" s="31" t="str">
        <x:f>INDEX('전체 WBS'!$E$1:$E$90,$J15)</x:f>
        <x:v>M5 유은혜</x:v>
      </x:c>
      <x:c r="F15" s="31" t="str">
        <x:f>INDEX('전체 WBS'!$I$1:$I$90,$J15)</x:f>
        <x:v>D3, I24</x:v>
      </x:c>
      <x:c r="G15" s="31" t="str">
        <x:f>INDEX('전체 WBS'!$AY$1:$AY$90,$J15)</x:f>
        <x:v>M5 코드 인계 후 Nginx→앱→DB 정상 요청</x:v>
      </x:c>
      <x:c r="H15" s="31" t="str">
        <x:f>INDEX('전체 WBS'!$H$1:$H$90,$J15)</x:f>
        <x:v>미확인</x:v>
      </x:c>
      <x:c r="I15" s="111" t="str">
        <x:f>HYPERLINK(INDEX('전체 WBS'!$AW$1:$AW$90,$J15),"원문")</x:f>
        <x:v>원문</x:v>
      </x:c>
      <x:c r="J15" s="4" t="n">
        <x:f>MATCH($B15,'전체 WBS'!$A$1:$A$90,0)</x:f>
        <x:v>35.0</x:v>
      </x:c>
    </x:row>
    <x:row r="16" ht="36" customHeight="1">
      <x:c r="A16" s="108" t="str">
        <x:f>INDEX('전체 WBS'!$G$1:$G$90,$J16)</x:f>
        <x:v>46325</x:v>
      </x:c>
      <x:c r="B16" s="31" t="str">
        <x:v>D5.1</x:v>
      </x:c>
      <x:c r="C16" s="31" t="str">
        <x:f>INDEX('전체 WBS'!$C$1:$C$90,$J16)</x:f>
        <x:v>Store 상품·모의 주문 개발</x:v>
      </x:c>
      <x:c r="D16" s="31" t="str">
        <x:f>INDEX('전체 WBS'!$D$1:$D$90,$J16)</x:f>
        <x:v>M5 유은혜(PM)</x:v>
      </x:c>
      <x:c r="E16" s="31" t="str">
        <x:f>INDEX('전체 WBS'!$E$1:$E$90,$J16)</x:f>
        <x:v>—</x:v>
      </x:c>
      <x:c r="F16" s="31" t="str">
        <x:f>INDEX('전체 WBS'!$I$1:$I$90,$J16)</x:f>
        <x:v>D1</x:v>
      </x:c>
      <x:c r="G16" s="31" t="str">
        <x:f>INDEX('전체 WBS'!$AY$1:$AY$90,$J16)</x:f>
        <x:v>상품 조회·모의 주문 최소 기능 검증</x:v>
      </x:c>
      <x:c r="H16" s="31" t="str">
        <x:f>INDEX('전체 WBS'!$H$1:$H$90,$J16)</x:f>
        <x:v>미확인</x:v>
      </x:c>
      <x:c r="I16" s="111" t="str">
        <x:f>HYPERLINK(INDEX('전체 WBS'!$AW$1:$AW$90,$J16),"원문")</x:f>
        <x:v>원문</x:v>
      </x:c>
      <x:c r="J16" s="4" t="n">
        <x:f>MATCH($B16,'전체 WBS'!$A$1:$A$90,0)</x:f>
        <x:v>36.0</x:v>
      </x:c>
    </x:row>
    <x:row r="17" ht="36" customHeight="1">
      <x:c r="A17" s="108" t="str">
        <x:f>INDEX('전체 WBS'!$G$1:$G$90,$J17)</x:f>
        <x:v>46326</x:v>
      </x:c>
      <x:c r="B17" s="31" t="str">
        <x:v>D5.2</x:v>
      </x:c>
      <x:c r="C17" s="31" t="str">
        <x:f>INDEX('전체 WBS'!$C$1:$C$90,$J17)</x:f>
        <x:v>Store AWS 배포·서비스 연동</x:v>
      </x:c>
      <x:c r="D17" s="31" t="str">
        <x:f>INDEX('전체 WBS'!$D$1:$D$90,$J17)</x:f>
        <x:v>M5 유은혜(PM)</x:v>
      </x:c>
      <x:c r="E17" s="31" t="str">
        <x:f>INDEX('전체 WBS'!$E$1:$E$90,$J17)</x:f>
        <x:v>M3 홍은서 · M1 유용수</x:v>
      </x:c>
      <x:c r="F17" s="31" t="str">
        <x:f>INDEX('전체 WBS'!$I$1:$I$90,$J17)</x:f>
        <x:v>D5.1, C12.2</x:v>
      </x:c>
      <x:c r="G17" s="31" t="str">
        <x:f>INDEX('전체 WBS'!$AY$1:$AY$90,$J17)</x:f>
        <x:v>ALB→EKS→비공개 RDS / 상품·주문 확인</x:v>
      </x:c>
      <x:c r="H17" s="31" t="str">
        <x:f>INDEX('전체 WBS'!$H$1:$H$90,$J17)</x:f>
        <x:v>미확인</x:v>
      </x:c>
      <x:c r="I17" s="111" t="str">
        <x:f>HYPERLINK(INDEX('전체 WBS'!$AW$1:$AW$90,$J17),"원문")</x:f>
        <x:v>원문</x:v>
      </x:c>
      <x:c r="J17" s="4" t="n">
        <x:f>MATCH($B17,'전체 WBS'!$A$1:$A$90,0)</x:f>
        <x:v>37.0</x:v>
      </x:c>
    </x:row>
    <x:row r="18" ht="36" customHeight="1">
      <x:c r="A18" s="108" t="str">
        <x:f>INDEX('전체 WBS'!$G$1:$G$90,$J18)</x:f>
        <x:v>46328</x:v>
      </x:c>
      <x:c r="B18" s="31" t="str">
        <x:v>I25</x:v>
      </x:c>
      <x:c r="C18" s="31" t="str">
        <x:f>INDEX('전체 WBS'!$C$1:$C$90,$J18)</x:f>
        <x:v>S03 공격 재현·원인 분석</x:v>
      </x:c>
      <x:c r="D18" s="31" t="str">
        <x:f>INDEX('전체 WBS'!$D$1:$D$90,$J18)</x:f>
        <x:v>M3 홍은서(PL)</x:v>
      </x:c>
      <x:c r="E18" s="31" t="str">
        <x:f>INDEX('전체 WBS'!$E$1:$E$90,$J18)</x:f>
        <x:v>M1 유용수</x:v>
      </x:c>
      <x:c r="F18" s="31" t="str">
        <x:f>INDEX('전체 WBS'!$I$1:$I$90,$J18)</x:f>
        <x:v>I24, I14, C7, D4.3</x:v>
      </x:c>
      <x:c r="G18" s="31" t="str">
        <x:f>INDEX('전체 WBS'!$AY$1:$AY$90,$J18)</x:f>
        <x:v>M1 출발 관리 API 시험·원본 로그·원인 분석</x:v>
      </x:c>
      <x:c r="H18" s="31" t="str">
        <x:f>INDEX('전체 WBS'!$H$1:$H$90,$J18)</x:f>
        <x:v>미확인</x:v>
      </x:c>
      <x:c r="I18" s="111" t="str">
        <x:f>HYPERLINK(INDEX('전체 WBS'!$AW$1:$AW$90,$J18),"원문")</x:f>
        <x:v>원문</x:v>
      </x:c>
      <x:c r="J18" s="4" t="n">
        <x:f>MATCH($B18,'전체 WBS'!$A$1:$A$90,0)</x:f>
        <x:v>48.0</x:v>
      </x:c>
    </x:row>
    <x:row r="19" ht="36" customHeight="1">
      <x:c r="A19" s="108" t="str">
        <x:f>INDEX('전체 WBS'!$G$1:$G$90,$J19)</x:f>
        <x:v>46328</x:v>
      </x:c>
      <x:c r="B19" s="31" t="str">
        <x:v>I35</x:v>
      </x:c>
      <x:c r="C19" s="31" t="str">
        <x:f>INDEX('전체 WBS'!$C$1:$C$90,$J19)</x:f>
        <x:v>S05 공격 재현·원인 분석</x:v>
      </x:c>
      <x:c r="D19" s="31" t="str">
        <x:f>INDEX('전체 WBS'!$D$1:$D$90,$J19)</x:f>
        <x:v>M5 유은혜(PM)</x:v>
      </x:c>
      <x:c r="E19" s="31" t="str">
        <x:f>INDEX('전체 WBS'!$E$1:$E$90,$J19)</x:f>
        <x:v>M1 유용수 · M3 홍은서</x:v>
      </x:c>
      <x:c r="F19" s="31" t="str">
        <x:f>INDEX('전체 WBS'!$I$1:$I$90,$J19)</x:f>
        <x:v>I34, I24, C7</x:v>
      </x:c>
      <x:c r="G19" s="31" t="str">
        <x:f>INDEX('전체 WBS'!$AY$1:$AY$90,$J19)</x:f>
        <x:v>캐나다→VPN·M1→격리 Test DB 시험·분석</x:v>
      </x:c>
      <x:c r="H19" s="31" t="str">
        <x:f>INDEX('전체 WBS'!$H$1:$H$90,$J19)</x:f>
        <x:v>미확인</x:v>
      </x:c>
      <x:c r="I19" s="111" t="str">
        <x:f>HYPERLINK(INDEX('전체 WBS'!$AW$1:$AW$90,$J19),"원문")</x:f>
        <x:v>원문</x:v>
      </x:c>
      <x:c r="J19" s="4" t="n">
        <x:f>MATCH($B19,'전체 WBS'!$A$1:$A$90,0)</x:f>
        <x:v>50.0</x:v>
      </x:c>
    </x:row>
    <x:row r="20" ht="36" customHeight="1">
      <x:c r="A20" s="108" t="str">
        <x:f>INDEX('전체 WBS'!$G$1:$G$90,$J20)</x:f>
        <x:v>46329</x:v>
      </x:c>
      <x:c r="B20" s="31" t="str">
        <x:v>I26.1</x:v>
      </x:c>
      <x:c r="C20" s="31" t="str">
        <x:f>INDEX('전체 WBS'!$C$1:$C$90,$J20)</x:f>
        <x:v>M3 TO-BE 토폴로지·보안 정책 설계</x:v>
      </x:c>
      <x:c r="D20" s="31" t="str">
        <x:f>INDEX('전체 WBS'!$D$1:$D$90,$J20)</x:f>
        <x:v>M3 홍은서(PL)</x:v>
      </x:c>
      <x:c r="E20" s="31" t="str">
        <x:f>INDEX('전체 WBS'!$E$1:$E$90,$J20)</x:f>
        <x:v>M4 박진혁 · M5 유은혜</x:v>
      </x:c>
      <x:c r="F20" s="31" t="str">
        <x:f>INDEX('전체 WBS'!$I$1:$I$90,$J20)</x:f>
        <x:v>I25</x:v>
      </x:c>
      <x:c r="G20" s="31" t="str">
        <x:f>INDEX('전체 WBS'!$AY$1:$AY$90,$J20)</x:f>
        <x:v>실제 S03 분석 후 정책·이중화·롤백 검토</x:v>
      </x:c>
      <x:c r="H20" s="31" t="str">
        <x:f>INDEX('전체 WBS'!$H$1:$H$90,$J20)</x:f>
        <x:v>미확인</x:v>
      </x:c>
      <x:c r="I20" s="111" t="str">
        <x:f>HYPERLINK(INDEX('전체 WBS'!$AW$1:$AW$90,$J20),"원문")</x:f>
        <x:v>원문</x:v>
      </x:c>
      <x:c r="J20" s="4" t="n">
        <x:f>MATCH($B20,'전체 WBS'!$A$1:$A$90,0)</x:f>
        <x:v>55.0</x:v>
      </x:c>
    </x:row>
    <x:row r="21" ht="36" customHeight="1">
      <x:c r="A21" s="108" t="str">
        <x:f>INDEX('전체 WBS'!$G$1:$G$90,$J21)</x:f>
        <x:v>46330</x:v>
      </x:c>
      <x:c r="B21" s="31" t="str">
        <x:v>D7</x:v>
      </x:c>
      <x:c r="C21" s="31" t="str">
        <x:f>INDEX('전체 WBS'!$C$1:$C$90,$J21)</x:f>
        <x:v>AI 자막 생성·플레이어 기능 구현</x:v>
      </x:c>
      <x:c r="D21" s="31" t="str">
        <x:f>INDEX('전체 WBS'!$D$1:$D$90,$J21)</x:f>
        <x:v>M5 유은혜(PM)</x:v>
      </x:c>
      <x:c r="E21" s="31" t="str">
        <x:f>INDEX('전체 WBS'!$E$1:$E$90,$J21)</x:f>
        <x:v>M3 홍은서</x:v>
      </x:c>
      <x:c r="F21" s="31" t="str">
        <x:f>INDEX('전체 WBS'!$I$1:$I$90,$J21)</x:f>
        <x:v>I35, D1</x:v>
      </x:c>
      <x:c r="G21" s="31" t="str">
        <x:f>INDEX('전체 WBS'!$AY$1:$AY$90,$J21)</x:f>
        <x:v>11/02 S05 후 개발, 11/03 자막 파일, 11/04 플레이어/API 준비. 서버 배포 D6.2, 최종 재생 C8에서 확인.</x:v>
      </x:c>
      <x:c r="H21" s="31" t="str">
        <x:f>INDEX('전체 WBS'!$H$1:$H$90,$J21)</x:f>
        <x:v>미확인</x:v>
      </x:c>
      <x:c r="I21" s="111" t="str">
        <x:f>HYPERLINK(INDEX('전체 WBS'!$AW$1:$AW$90,$J21),"원문")</x:f>
        <x:v>원문</x:v>
      </x:c>
      <x:c r="J21" s="4" t="n">
        <x:f>MATCH($B21,'전체 WBS'!$A$1:$A$90,0)</x:f>
        <x:v>42.0</x:v>
      </x:c>
    </x:row>
    <x:row r="22" ht="36" customHeight="1">
      <x:c r="A22" s="108" t="str">
        <x:f>INDEX('전체 WBS'!$G$1:$G$90,$J22)</x:f>
        <x:v>46330</x:v>
      </x:c>
      <x:c r="B22" s="31" t="str">
        <x:v>I26.2</x:v>
      </x:c>
      <x:c r="C22" s="31" t="str">
        <x:f>INDEX('전체 WBS'!$C$1:$C$90,$J22)</x:f>
        <x:v>S03·S05 접근제어·앱 부하 분산 적용</x:v>
      </x:c>
      <x:c r="D22" s="31" t="str">
        <x:f>INDEX('전체 WBS'!$D$1:$D$90,$J22)</x:f>
        <x:v>M3 홍은서(PL)</x:v>
      </x:c>
      <x:c r="E22" s="31" t="str">
        <x:f>INDEX('전체 WBS'!$E$1:$E$90,$J22)</x:f>
        <x:v>M5 유은혜</x:v>
      </x:c>
      <x:c r="F22" s="31" t="str">
        <x:f>INDEX('전체 WBS'!$I$1:$I$90,$J22)</x:f>
        <x:v>I26.1, I36.1</x:v>
      </x:c>
      <x:c r="G22" s="31" t="str">
        <x:f>INDEX('전체 WBS'!$AY$1:$AY$90,$J22)</x:f>
        <x:v>11/04 오전 UTM3 접근제어 정책·앱 부하 분산 후 배포 인계</x:v>
      </x:c>
      <x:c r="H22" s="31" t="str">
        <x:f>INDEX('전체 WBS'!$H$1:$H$90,$J22)</x:f>
        <x:v>미확인</x:v>
      </x:c>
      <x:c r="I22" s="111" t="str">
        <x:f>HYPERLINK(INDEX('전체 WBS'!$AW$1:$AW$90,$J22),"원문")</x:f>
        <x:v>원문</x:v>
      </x:c>
      <x:c r="J22" s="4" t="n">
        <x:f>MATCH($B22,'전체 WBS'!$A$1:$A$90,0)</x:f>
        <x:v>61.0</x:v>
      </x:c>
    </x:row>
    <x:row r="23" ht="36" customHeight="1">
      <x:c r="A23" s="108" t="str">
        <x:f>INDEX('전체 WBS'!$G$1:$G$90,$J23)</x:f>
        <x:v>46330</x:v>
      </x:c>
      <x:c r="B23" s="31" t="str">
        <x:v>D6.2</x:v>
      </x:c>
      <x:c r="C23" s="31" t="str">
        <x:f>INDEX('전체 WBS'!$C$1:$C$90,$J23)</x:f>
        <x:v>한국 CD 구성·AI 서비스 배포</x:v>
      </x:c>
      <x:c r="D23" s="31" t="str">
        <x:f>INDEX('전체 WBS'!$D$1:$D$90,$J23)</x:f>
        <x:v>M5 유은혜(PM)</x:v>
      </x:c>
      <x:c r="E23" s="31" t="str">
        <x:f>INDEX('전체 WBS'!$E$1:$E$90,$J23)</x:f>
        <x:v>M3 홍은서</x:v>
      </x:c>
      <x:c r="F23" s="31" t="str">
        <x:f>INDEX('전체 WBS'!$I$1:$I$90,$J23)</x:f>
        <x:v>D6.1, I26.2, D7</x:v>
      </x:c>
      <x:c r="G23" s="31" t="str">
        <x:f>INDEX('전체 WBS'!$AY$1:$AY$90,$J23)</x:f>
        <x:v>11/04 오전 I26.2와 D7의 자막/API 인계 확인 후 오후 M3·M5 배포. 플레이어 최종 검증은 C8.</x:v>
      </x:c>
      <x:c r="H23" s="31" t="str">
        <x:f>INDEX('전체 WBS'!$H$1:$H$90,$J23)</x:f>
        <x:v>미확인</x:v>
      </x:c>
      <x:c r="I23" s="111" t="str">
        <x:f>HYPERLINK(INDEX('전체 WBS'!$AW$1:$AW$90,$J23),"원문")</x:f>
        <x:v>원문</x:v>
      </x:c>
      <x:c r="J23" s="4" t="n">
        <x:f>MATCH($B23,'전체 WBS'!$A$1:$A$90,0)</x:f>
        <x:v>40.0</x:v>
      </x:c>
    </x:row>
    <x:row r="24" ht="36" customHeight="1">
      <x:c r="A24" s="108" t="str">
        <x:f>INDEX('전체 WBS'!$G$1:$G$90,$J24)</x:f>
        <x:v>46331</x:v>
      </x:c>
      <x:c r="B24" s="31" t="str">
        <x:v>I31.3</x:v>
      </x:c>
      <x:c r="C24" s="31" t="str">
        <x:f>INDEX('전체 WBS'!$C$1:$C$90,$J24)</x:f>
        <x:v>원본·복제 DB 초기 동기화</x:v>
      </x:c>
      <x:c r="D24" s="31" t="str">
        <x:f>INDEX('전체 WBS'!$D$1:$D$90,$J24)</x:f>
        <x:v>M4 박진혁</x:v>
      </x:c>
      <x:c r="E24" s="31" t="str">
        <x:f>INDEX('전체 WBS'!$E$1:$E$90,$J24)</x:f>
        <x:v>M3 홍은서</x:v>
      </x:c>
      <x:c r="F24" s="31" t="str">
        <x:f>INDEX('전체 WBS'!$I$1:$I$90,$J24)</x:f>
        <x:v>I31.1, C10.2</x:v>
      </x:c>
      <x:c r="G24" s="31" t="str">
        <x:f>INDEX('전체 WBS'!$AY$1:$AY$90,$J24)</x:f>
        <x:v>11/05 오전 M3 원본 설정·M4 초기 복제</x:v>
      </x:c>
      <x:c r="H24" s="31" t="str">
        <x:f>INDEX('전체 WBS'!$H$1:$H$90,$J24)</x:f>
        <x:v>미확인</x:v>
      </x:c>
      <x:c r="I24" s="111" t="str">
        <x:f>HYPERLINK(INDEX('전체 WBS'!$AW$1:$AW$90,$J24),"원문")</x:f>
        <x:v>원문</x:v>
      </x:c>
      <x:c r="J24" s="4" t="n">
        <x:f>MATCH($B24,'전체 WBS'!$A$1:$A$90,0)</x:f>
        <x:v>65.0</x:v>
      </x:c>
    </x:row>
    <x:row r="25" ht="36" customHeight="1">
      <x:c r="A25" s="108" t="str">
        <x:f>INDEX('전체 WBS'!$G$1:$G$90,$J25)</x:f>
        <x:v>46331</x:v>
      </x:c>
      <x:c r="B25" s="31" t="str">
        <x:v>I26.3</x:v>
      </x:c>
      <x:c r="C25" s="31" t="str">
        <x:f>INDEX('전체 WBS'!$C$1:$C$90,$J25)</x:f>
        <x:v>Nginx B·VIP 구성</x:v>
      </x:c>
      <x:c r="D25" s="31" t="str">
        <x:f>INDEX('전체 WBS'!$D$1:$D$90,$J25)</x:f>
        <x:v>M3 홍은서(PL)</x:v>
      </x:c>
      <x:c r="E25" s="31" t="str">
        <x:f>INDEX('전체 WBS'!$E$1:$E$90,$J25)</x:f>
        <x:v>—</x:v>
      </x:c>
      <x:c r="F25" s="31" t="str">
        <x:f>INDEX('전체 WBS'!$I$1:$I$90,$J25)</x:f>
        <x:v>I26.1</x:v>
      </x:c>
      <x:c r="G25" s="31" t="str">
        <x:f>INDEX('전체 WBS'!$AY$1:$AY$90,$J25)</x:f>
        <x:v>기술 선행은 I26.1. 11/05 오전 DB 협업 후 오후 M3가 수행하는 것은 담당자 시간 제약.</x:v>
      </x:c>
      <x:c r="H25" s="31" t="str">
        <x:f>INDEX('전체 WBS'!$H$1:$H$90,$J25)</x:f>
        <x:v>미확인</x:v>
      </x:c>
      <x:c r="I25" s="111" t="str">
        <x:f>HYPERLINK(INDEX('전체 WBS'!$AW$1:$AW$90,$J25),"원문")</x:f>
        <x:v>원문</x:v>
      </x:c>
      <x:c r="J25" s="4" t="n">
        <x:f>MATCH($B25,'전체 WBS'!$A$1:$A$90,0)</x:f>
        <x:v>62.0</x:v>
      </x:c>
    </x:row>
    <x:row r="26" ht="36" customHeight="1">
      <x:c r="A26" s="108" t="str">
        <x:f>INDEX('전체 WBS'!$G$1:$G$90,$J26)</x:f>
        <x:v>46331</x:v>
      </x:c>
      <x:c r="B26" s="31" t="str">
        <x:v>D6.3</x:v>
      </x:c>
      <x:c r="C26" s="31" t="str">
        <x:f>INDEX('전체 WBS'!$C$1:$C$90,$J26)</x:f>
        <x:v>Store CD 구성·자동 배포</x:v>
      </x:c>
      <x:c r="D26" s="31" t="str">
        <x:f>INDEX('전체 WBS'!$D$1:$D$90,$J26)</x:f>
        <x:v>M5 유은혜(PM)</x:v>
      </x:c>
      <x:c r="E26" s="31" t="str">
        <x:f>INDEX('전체 WBS'!$E$1:$E$90,$J26)</x:f>
        <x:v>—</x:v>
      </x:c>
      <x:c r="F26" s="31" t="str">
        <x:f>INDEX('전체 WBS'!$I$1:$I$90,$J26)</x:f>
        <x:v>D6.1, D5.2</x:v>
      </x:c>
      <x:c r="G26" s="31" t="str">
        <x:f>INDEX('전체 WBS'!$AY$1:$AY$90,$J26)</x:f>
        <x:v>이미지·배포 설정 저장소·Argo CD 연결 및 실제 요청</x:v>
      </x:c>
      <x:c r="H26" s="31" t="str">
        <x:f>INDEX('전체 WBS'!$H$1:$H$90,$J26)</x:f>
        <x:v>미확인</x:v>
      </x:c>
      <x:c r="I26" s="111" t="str">
        <x:f>HYPERLINK(INDEX('전체 WBS'!$AW$1:$AW$90,$J26),"원문")</x:f>
        <x:v>원문</x:v>
      </x:c>
      <x:c r="J26" s="4" t="n">
        <x:f>MATCH($B26,'전체 WBS'!$A$1:$A$90,0)</x:f>
        <x:v>41.0</x:v>
      </x:c>
    </x:row>
    <x:row r="27" ht="36" customHeight="1">
      <x:c r="A27" s="108" t="str">
        <x:f>INDEX('전체 WBS'!$G$1:$G$90,$J27)</x:f>
        <x:v>46332</x:v>
      </x:c>
      <x:c r="B27" s="31" t="str">
        <x:v>C8</x:v>
      </x:c>
      <x:c r="C27" s="31" t="str">
        <x:f>INDEX('전체 WBS'!$C$1:$C$90,$J27)</x:f>
        <x:v>앱·AI·CI/CD 통합 테스트</x:v>
      </x:c>
      <x:c r="D27" s="31" t="str">
        <x:f>INDEX('전체 WBS'!$D$1:$D$90,$J27)</x:f>
        <x:v>M5 유은혜(PM)</x:v>
      </x:c>
      <x:c r="E27" s="31" t="str">
        <x:f>INDEX('전체 WBS'!$E$1:$E$90,$J27)</x:f>
        <x:v>M1 유용수 · M2 윤서영
M3 홍은서</x:v>
      </x:c>
      <x:c r="F27" s="31" t="str">
        <x:f>INDEX('전체 WBS'!$I$1:$I$90,$J27)</x:f>
        <x:v>D4.1, D4.2, D4.3, D5.3, D6.2, D6.3, D7</x:v>
      </x:c>
      <x:c r="G27" s="31" t="str">
        <x:f>INDEX('전체 WBS'!$AY$1:$AY$90,$J27)</x:f>
        <x:v>정상 서비스·AI 자막·CI/CD 추적 및 오류 보완</x:v>
      </x:c>
      <x:c r="H27" s="31" t="str">
        <x:f>INDEX('전체 WBS'!$H$1:$H$90,$J27)</x:f>
        <x:v>미확인</x:v>
      </x:c>
      <x:c r="I27" s="111" t="str">
        <x:f>HYPERLINK(INDEX('전체 WBS'!$AW$1:$AW$90,$J27),"원문")</x:f>
        <x:v>원문</x:v>
      </x:c>
      <x:c r="J27" s="4" t="n">
        <x:f>MATCH($B27,'전체 WBS'!$A$1:$A$90,0)</x:f>
        <x:v>43.0</x:v>
      </x:c>
    </x:row>
    <x:row r="28" ht="36" customHeight="1">
      <x:c r="A28" s="108" t="str">
        <x:f>INDEX('전체 WBS'!$G$1:$G$90,$J28)</x:f>
        <x:v>46332</x:v>
      </x:c>
      <x:c r="B28" s="31" t="str">
        <x:v>C10.4</x:v>
      </x:c>
      <x:c r="C28" s="31" t="str">
        <x:f>INDEX('전체 WBS'!$C$1:$C$90,$J28)</x:f>
        <x:v>S3 백업본·격리 복원 검증</x:v>
      </x:c>
      <x:c r="D28" s="31" t="str">
        <x:f>INDEX('전체 WBS'!$D$1:$D$90,$J28)</x:f>
        <x:v>M4 박진혁</x:v>
      </x:c>
      <x:c r="E28" s="31" t="str">
        <x:f>INDEX('전체 WBS'!$E$1:$E$90,$J28)</x:f>
        <x:v>—</x:v>
      </x:c>
      <x:c r="F28" s="31" t="str">
        <x:f>INDEX('전체 WBS'!$I$1:$I$90,$J28)</x:f>
        <x:v>C10.3, I31.3</x:v>
      </x:c>
      <x:c r="G28" s="31" t="str">
        <x:f>INDEX('전체 WBS'!$AY$1:$AY$90,$J28)</x:f>
        <x:v>S3 다운로드·별도 복원 / 해시·데이터 대조</x:v>
      </x:c>
      <x:c r="H28" s="31" t="str">
        <x:f>INDEX('전체 WBS'!$H$1:$H$90,$J28)</x:f>
        <x:v>미확인</x:v>
      </x:c>
      <x:c r="I28" s="111" t="str">
        <x:f>HYPERLINK(INDEX('전체 WBS'!$AW$1:$AW$90,$J28),"원문")</x:f>
        <x:v>원문</x:v>
      </x:c>
      <x:c r="J28" s="4" t="n">
        <x:f>MATCH($B28,'전체 WBS'!$A$1:$A$90,0)</x:f>
        <x:v>66.0</x:v>
      </x:c>
    </x:row>
    <x:row r="29" ht="36" customHeight="1">
      <x:c r="A29" s="108" t="str">
        <x:f>INDEX('전체 WBS'!$G$1:$G$90,$J29)</x:f>
        <x:v>46336</x:v>
      </x:c>
      <x:c r="B29" s="31" t="str">
        <x:v>D8</x:v>
      </x:c>
      <x:c r="C29" s="31" t="str">
        <x:f>INDEX('전체 WBS'!$C$1:$C$90,$J29)</x:f>
        <x:v>앱 회귀 테스트·배포 롤백 검증</x:v>
      </x:c>
      <x:c r="D29" s="31" t="str">
        <x:f>INDEX('전체 WBS'!$D$1:$D$90,$J29)</x:f>
        <x:v>M5 유은혜(PM)</x:v>
      </x:c>
      <x:c r="E29" s="31" t="str">
        <x:f>INDEX('전체 WBS'!$E$1:$E$90,$J29)</x:f>
        <x:v>M1 유용수 · M2 윤서영
M3 홍은서</x:v>
      </x:c>
      <x:c r="F29" s="31" t="str">
        <x:f>INDEX('전체 WBS'!$I$1:$I$90,$J29)</x:f>
        <x:v>C8, I16.3, I21.3, I26.4</x:v>
      </x:c>
      <x:c r="G29" s="31" t="str">
        <x:f>INDEX('전체 WBS'!$AY$1:$AY$90,$J29)</x:f>
        <x:v>개선 후 정상 기능·이전 배포 버전 복구</x:v>
      </x:c>
      <x:c r="H29" s="31" t="str">
        <x:f>INDEX('전체 WBS'!$H$1:$H$90,$J29)</x:f>
        <x:v>미확인</x:v>
      </x:c>
      <x:c r="I29" s="111" t="str">
        <x:f>HYPERLINK(INDEX('전체 WBS'!$AW$1:$AW$90,$J29),"원문")</x:f>
        <x:v>원문</x:v>
      </x:c>
      <x:c r="J29" s="4" t="n">
        <x:f>MATCH($B29,'전체 WBS'!$A$1:$A$90,0)</x:f>
        <x:v>44.0</x:v>
      </x:c>
    </x:row>
    <x:row r="30" ht="36" customHeight="1">
      <x:c r="A30" s="108" t="str">
        <x:f>INDEX('전체 WBS'!$G$1:$G$90,$J30)</x:f>
        <x:v>46336</x:v>
      </x:c>
      <x:c r="B30" s="31" t="str">
        <x:v>C11.2</x:v>
      </x:c>
      <x:c r="C30" s="31" t="str">
        <x:f>INDEX('전체 WBS'!$C$1:$C$90,$J30)</x:f>
        <x:v>앱·노드·VIP 장애 복구 테스트</x:v>
      </x:c>
      <x:c r="D30" s="31" t="str">
        <x:f>INDEX('전체 WBS'!$D$1:$D$90,$J30)</x:f>
        <x:v>M3 홍은서(PL)</x:v>
      </x:c>
      <x:c r="E30" s="31" t="str">
        <x:f>INDEX('전체 WBS'!$E$1:$E$90,$J30)</x:f>
        <x:v>M5 유은혜</x:v>
      </x:c>
      <x:c r="F30" s="31" t="str">
        <x:f>INDEX('전체 WBS'!$I$1:$I$90,$J30)</x:f>
        <x:v>C11.1, I26.4</x:v>
      </x:c>
      <x:c r="G30" s="31" t="str">
        <x:f>INDEX('전체 WBS'!$AY$1:$AY$90,$J30)</x:f>
        <x:v>앱·노드·VIP별 오류/복구 시각과 실제 요청</x:v>
      </x:c>
      <x:c r="H30" s="31" t="str">
        <x:f>INDEX('전체 WBS'!$H$1:$H$90,$J30)</x:f>
        <x:v>미확인</x:v>
      </x:c>
      <x:c r="I30" s="111" t="str">
        <x:f>HYPERLINK(INDEX('전체 WBS'!$AW$1:$AW$90,$J30),"원문")</x:f>
        <x:v>원문</x:v>
      </x:c>
      <x:c r="J30" s="4" t="n">
        <x:f>MATCH($B30,'전체 WBS'!$A$1:$A$90,0)</x:f>
        <x:v>78.0</x:v>
      </x:c>
    </x:row>
    <x:row r="31" ht="36" customHeight="1">
      <x:c r="A31" s="108" t="str">
        <x:f>INDEX('전체 WBS'!$G$1:$G$90,$J31)</x:f>
        <x:v>46336</x:v>
      </x:c>
      <x:c r="B31" s="31" t="str">
        <x:v>C10.5</x:v>
      </x:c>
      <x:c r="C31" s="31" t="str">
        <x:f>INDEX('전체 WBS'!$C$1:$C$90,$J31)</x:f>
        <x:v>DB 복제·백업·복원 재검증</x:v>
      </x:c>
      <x:c r="D31" s="31" t="str">
        <x:f>INDEX('전체 WBS'!$D$1:$D$90,$J31)</x:f>
        <x:v>M4 박진혁</x:v>
      </x:c>
      <x:c r="E31" s="31" t="str">
        <x:f>INDEX('전체 WBS'!$E$1:$E$90,$J31)</x:f>
        <x:v>M3 홍은서</x:v>
      </x:c>
      <x:c r="F31" s="31" t="str">
        <x:f>INDEX('전체 WBS'!$I$1:$I$90,$J31)</x:f>
        <x:v>I31.3, C10.4</x:v>
      </x:c>
      <x:c r="G31" s="31" t="str">
        <x:f>INDEX('전체 WBS'!$AY$1:$AY$90,$J31)</x:f>
        <x:v>복제 단절/재개·쓰기 제한·복원 데이터·시간</x:v>
      </x:c>
      <x:c r="H31" s="31" t="str">
        <x:f>INDEX('전체 WBS'!$H$1:$H$90,$J31)</x:f>
        <x:v>미확인</x:v>
      </x:c>
      <x:c r="I31" s="111" t="str">
        <x:f>HYPERLINK(INDEX('전체 WBS'!$AW$1:$AW$90,$J31),"원문")</x:f>
        <x:v>원문</x:v>
      </x:c>
      <x:c r="J31" s="4" t="n">
        <x:f>MATCH($B31,'전체 WBS'!$A$1:$A$90,0)</x:f>
        <x:v>77.0</x:v>
      </x:c>
    </x:row>
    <x:row r="32" ht="36" customHeight="1">
      <x:c r="A32" s="108" t="str">
        <x:f>INDEX('전체 WBS'!$G$1:$G$90,$J32)</x:f>
        <x:v>46336</x:v>
      </x:c>
      <x:c r="B32" s="31" t="str">
        <x:v>C12.3</x:v>
      </x:c>
      <x:c r="C32" s="31" t="str">
        <x:f>INDEX('전체 WBS'!$C$1:$C$90,$J32)</x:f>
        <x:v>RDS 격리 복원 검증·임시 자원 정리</x:v>
      </x:c>
      <x:c r="D32" s="31" t="str">
        <x:f>INDEX('전체 WBS'!$D$1:$D$90,$J32)</x:f>
        <x:v>M5 유은혜(PM)</x:v>
      </x:c>
      <x:c r="E32" s="31" t="str">
        <x:f>INDEX('전체 WBS'!$E$1:$E$90,$J32)</x:f>
        <x:v>—</x:v>
      </x:c>
      <x:c r="F32" s="31" t="str">
        <x:f>INDEX('전체 WBS'!$I$1:$I$90,$J32)</x:f>
        <x:v>D5.2, C8</x:v>
      </x:c>
      <x:c r="G32" s="31" t="str">
        <x:f>INDEX('전체 WBS'!$AY$1:$AY$90,$J32)</x:f>
        <x:v>별도 RDS 복원·데이터 확인·임시 자원 정리</x:v>
      </x:c>
      <x:c r="H32" s="31" t="str">
        <x:f>INDEX('전체 WBS'!$H$1:$H$90,$J32)</x:f>
        <x:v>미확인</x:v>
      </x:c>
      <x:c r="I32" s="111" t="str">
        <x:f>HYPERLINK(INDEX('전체 WBS'!$AW$1:$AW$90,$J32),"원문")</x:f>
        <x:v>원문</x:v>
      </x:c>
      <x:c r="J32" s="4" t="n">
        <x:f>MATCH($B32,'전체 WBS'!$A$1:$A$90,0)</x:f>
        <x:v>79.0</x:v>
      </x:c>
    </x:row>
    <x:row r="33" ht="36" customHeight="1">
      <x:c r="A33" s="108" t="str">
        <x:f>INDEX('전체 WBS'!$G$1:$G$90,$J33)</x:f>
        <x:v>46338</x:v>
      </x:c>
      <x:c r="B33" s="31" t="str">
        <x:v>C13.1</x:v>
      </x:c>
      <x:c r="C33" s="31" t="str">
        <x:f>INDEX('전체 WBS'!$C$1:$C$90,$J33)</x:f>
        <x:v>최종 보고·발표자료 취합</x:v>
      </x:c>
      <x:c r="D33" s="31" t="str">
        <x:f>INDEX('전체 WBS'!$D$1:$D$90,$J33)</x:f>
        <x:v>M5 유은혜(PM)</x:v>
      </x:c>
      <x:c r="E33" s="31" t="str">
        <x:f>INDEX('전체 WBS'!$E$1:$E$90,$J33)</x:f>
        <x:v>M3 홍은서</x:v>
      </x:c>
      <x:c r="F33" s="31" t="str">
        <x:f>INDEX('전체 WBS'!$I$1:$I$90,$J33)</x:f>
        <x:v>I18, I23, I28, I33, I38</x:v>
      </x:c>
      <x:c r="G33" s="31" t="str">
        <x:f>INDEX('전체 WBS'!$AY$1:$AY$90,$J33)</x:f>
        <x:v>각 담당의 검토된 결과부터 순차 취합. 최종본 마감 11/12 전 전원 자료·한계·시연 대조.</x:v>
      </x:c>
      <x:c r="H33" s="31" t="str">
        <x:f>INDEX('전체 WBS'!$H$1:$H$90,$J33)</x:f>
        <x:v>미확인</x:v>
      </x:c>
      <x:c r="I33" s="111" t="str">
        <x:f>HYPERLINK(INDEX('전체 WBS'!$AW$1:$AW$90,$J33),"원문")</x:f>
        <x:v>원문</x:v>
      </x:c>
      <x:c r="J33" s="4" t="n">
        <x:f>MATCH($B33,'전체 WBS'!$A$1:$A$90,0)</x:f>
        <x:v>86.0</x:v>
      </x:c>
    </x:row>
    <x:row r="34" ht="36" customHeight="1">
      <x:c r="A34" s="108" t="str">
        <x:f>INDEX('전체 WBS'!$G$1:$G$90,$J34)</x:f>
        <x:v>46339</x:v>
      </x:c>
      <x:c r="B34" s="31" t="str">
        <x:v>C13.2</x:v>
      </x:c>
      <x:c r="C34" s="31" t="str">
        <x:f>INDEX('전체 WBS'!$C$1:$C$90,$J34)</x:f>
        <x:v>전원 리허설·환경 복구 확인</x:v>
      </x:c>
      <x:c r="D34" s="31" t="str">
        <x:f>INDEX('전체 WBS'!$D$1:$D$90,$J34)</x:f>
        <x:v>M5 유은혜(PM)</x:v>
      </x:c>
      <x:c r="E34" s="31" t="str">
        <x:f>INDEX('전체 WBS'!$E$1:$E$90,$J34)</x:f>
        <x:v>M1 유용수 · M2 윤서영
M3 홍은서 · M4 박진혁</x:v>
      </x:c>
      <x:c r="F34" s="31" t="str">
        <x:f>INDEX('전체 WBS'!$I$1:$I$90,$J34)</x:f>
        <x:v>C13.1</x:v>
      </x:c>
      <x:c r="G34" s="31" t="str">
        <x:f>INDEX('전체 WBS'!$AY$1:$AY$90,$J34)</x:f>
        <x:v>전원 설명·시연 / AWS 재생성 절차·소요 확인</x:v>
      </x:c>
      <x:c r="H34" s="31" t="str">
        <x:f>INDEX('전체 WBS'!$H$1:$H$90,$J34)</x:f>
        <x:v>미확인</x:v>
      </x:c>
      <x:c r="I34" s="111" t="str">
        <x:f>HYPERLINK(INDEX('전체 WBS'!$AW$1:$AW$90,$J34),"원문")</x:f>
        <x:v>원문</x:v>
      </x:c>
      <x:c r="J34" s="4" t="n">
        <x:f>MATCH($B34,'전체 WBS'!$A$1:$A$90,0)</x:f>
        <x:v>87.0</x:v>
      </x:c>
    </x:row>
    <x:row r="35" ht="36" customHeight="1">
      <x:c r="A35" s="108" t="str">
        <x:f>INDEX('전체 WBS'!$G$1:$G$90,$J35)</x:f>
        <x:v>46340</x:v>
      </x:c>
      <x:c r="B35" s="31" t="str">
        <x:v>C13.3</x:v>
      </x:c>
      <x:c r="C35" s="31" t="str">
        <x:f>INDEX('전체 WBS'!$C$1:$C$90,$J35)</x:f>
        <x:v>파일·링크·대체 시연 점검</x:v>
      </x:c>
      <x:c r="D35" s="31" t="str">
        <x:f>INDEX('전체 WBS'!$D$1:$D$90,$J35)</x:f>
        <x:v>M5 유은혜(PM)</x:v>
      </x:c>
      <x:c r="E35" s="31" t="str">
        <x:f>INDEX('전체 WBS'!$E$1:$E$90,$J35)</x:f>
        <x:v>M3 홍은서</x:v>
      </x:c>
      <x:c r="F35" s="31" t="str">
        <x:f>INDEX('전체 WBS'!$I$1:$I$90,$J35)</x:f>
        <x:v>C13.2</x:v>
      </x:c>
      <x:c r="G35" s="31" t="str">
        <x:f>INDEX('전체 WBS'!$AY$1:$AY$90,$J35)</x:f>
        <x:v>파일·링크·대체 시연 최종 확인</x:v>
      </x:c>
      <x:c r="H35" s="31" t="str">
        <x:f>INDEX('전체 WBS'!$H$1:$H$90,$J35)</x:f>
        <x:v>미확인</x:v>
      </x:c>
      <x:c r="I35" s="111" t="str">
        <x:f>HYPERLINK(INDEX('전체 WBS'!$AW$1:$AW$90,$J35),"원문")</x:f>
        <x:v>원문</x:v>
      </x:c>
      <x:c r="J35" s="4" t="n">
        <x:f>MATCH($B35,'전체 WBS'!$A$1:$A$90,0)</x:f>
        <x:v>88.0</x:v>
      </x:c>
    </x:row>
    <x:row r="36" ht="36" customHeight="1">
      <x:c r="A36" s="109" t="str">
        <x:f>INDEX('전체 WBS'!$G$1:$G$90,$J36)</x:f>
        <x:v>46342</x:v>
      </x:c>
      <x:c r="B36" s="32" t="str">
        <x:v>C13.4</x:v>
      </x:c>
      <x:c r="C36" s="32" t="str">
        <x:f>INDEX('전체 WBS'!$C$1:$C$90,$J36)</x:f>
        <x:v>최종 발표·실습 자원 정리</x:v>
      </x:c>
      <x:c r="D36" s="32" t="str">
        <x:f>INDEX('전체 WBS'!$D$1:$D$90,$J36)</x:f>
        <x:v>M5 유은혜(PM)</x:v>
      </x:c>
      <x:c r="E36" s="32" t="str">
        <x:f>INDEX('전체 WBS'!$E$1:$E$90,$J36)</x:f>
        <x:v>M1 유용수 · M2 윤서영
M3 홍은서 · M4 박진혁</x:v>
      </x:c>
      <x:c r="F36" s="32" t="str">
        <x:f>INDEX('전체 WBS'!$I$1:$I$90,$J36)</x:f>
        <x:v>C13.3</x:v>
      </x:c>
      <x:c r="G36" s="32" t="str">
        <x:f>INDEX('전체 WBS'!$AY$1:$AY$90,$J36)</x:f>
        <x:v>발표 전 정상 요청 / 종료 후 계정·유료 자원 정리</x:v>
      </x:c>
      <x:c r="H36" s="32" t="str">
        <x:f>INDEX('전체 WBS'!$H$1:$H$90,$J36)</x:f>
        <x:v>미확인</x:v>
      </x:c>
      <x:c r="I36" s="112" t="str">
        <x:f>HYPERLINK(INDEX('전체 WBS'!$AW$1:$AW$90,$J36),"원문")</x:f>
        <x:v>원문</x:v>
      </x:c>
      <x:c r="J36" s="4" t="n">
        <x:f>MATCH($B36,'전체 WBS'!$A$1:$A$90,0)</x:f>
        <x:v>89.0</x:v>
      </x:c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</x:row>
    <x:row r="38" ht="25" customHeight="1">
      <x:c r="A38" s="113" t="str">
        <x:v>확인 필요와 일정 영향</x:v>
      </x:c>
      <x:c r="B38" s="113"/>
      <x:c r="C38" s="113"/>
      <x:c r="D38" s="113"/>
      <x:c r="E38" s="113"/>
      <x:c r="F38" s="113"/>
      <x:c r="G38" s="113"/>
      <x:c r="H38" s="113"/>
      <x:c r="I38" s="113"/>
      <x:c r="J38" s="4"/>
    </x:row>
    <x:row r="39" ht="27" customHeight="1">
      <x:c r="A39" s="21" t="str">
        <x:v>구분</x:v>
      </x:c>
      <x:c r="B39" s="21" t="str">
        <x:v>대상 ID</x:v>
      </x:c>
      <x:c r="C39" s="21" t="str">
        <x:v>확인 내용</x:v>
      </x:c>
      <x:c r="D39" s="21" t="str">
        <x:v>확인 책임</x:v>
      </x:c>
      <x:c r="E39" s="21" t="str">
        <x:v>관련 담당</x:v>
      </x:c>
      <x:c r="F39" s="21" t="str">
        <x:v>확인 기한</x:v>
      </x:c>
      <x:c r="G39" s="21" t="str">
        <x:v>영향·조치</x:v>
      </x:c>
      <x:c r="H39" s="21" t="str">
        <x:v>상태</x:v>
      </x:c>
      <x:c r="I39" s="21" t="str">
        <x:v>근거</x:v>
      </x:c>
      <x:c r="J39" s="4"/>
    </x:row>
    <x:row r="40" ht="63" customHeight="1">
      <x:c r="A40" s="4" t="str">
        <x:v>등록·검토 구분</x:v>
      </x:c>
      <x:c r="B40" s="4" t="str">
        <x:v>I01–I05</x:v>
      </x:c>
      <x:c r="C40" s="4" t="str">
        <x:v>AS-IS #1~#5 종료. M1·M3·M4·M5는 등록 성공 보고, M2는 일부 성공·IP 변경 가능.</x:v>
      </x:c>
      <x:c r="D40" s="4" t="str">
        <x:f>'전체 WBS'!D16</x:f>
        <x:v>M5 유은혜(PM)</x:v>
      </x:c>
      <x:c r="E40" s="4" t="str">
        <x:f>'전체 WBS'!E16</x:f>
        <x:v>M3 홍은서 · M1 유용수M2 윤서영 · M4 박진혁</x:v>
      </x:c>
      <x:c r="F40" s="49" t="n">
        <x:f>'전체 WBS'!G16</x:f>
        <x:v>46318.0</x:v>
      </x:c>
      <x:c r="G40" s="4" t="str">
        <x:v>작성·등록과 PL 통합 검토 분리. 등록된 자료의 망 간 정합성은 C6.1에서 확인.</x:v>
      </x:c>
      <x:c r="H40" s="115" t="str">
        <x:v>확인 필요</x:v>
      </x:c>
      <x:c r="I40" s="4" t="str">
        <x:f>HYPERLINK('전체 WBS'!AW16,"원문")</x:f>
        <x:v>원문</x:v>
      </x:c>
      <x:c r="J40" s="4"/>
    </x:row>
    <x:row r="41" ht="63" customHeight="1">
      <x:c r="A41" s="4" t="str">
        <x:v>작업 집중</x:v>
      </x:c>
      <x:c r="B41" s="4" t="str">
        <x:v>D1·D2, C6.1·C12.1</x:v>
      </x:c>
      <x:c r="C41" s="4" t="str">
        <x:v>M5 기본망·설계·게시판·PM·AWS 동시 수행. 10/23 설치/설정/테스트별 남은 시간 제출.</x:v>
      </x:c>
      <x:c r="D41" s="4" t="str">
        <x:f>'전체 WBS'!D16</x:f>
        <x:v>M5 유은혜(PM)</x:v>
      </x:c>
      <x:c r="E41" s="4" t="str">
        <x:f>'전체 WBS'!E16</x:f>
        <x:v>M3 홍은서 · M1 유용수M2 윤서영 · M4 박진혁</x:v>
      </x:c>
      <x:c r="F41" s="49" t="n">
        <x:f>'전체 WBS'!G16</x:f>
        <x:v>46318.0</x:v>
      </x:c>
      <x:c r="G41" s="4" t="str">
        <x:v>예상시간·가용시간·지원/범위 조정안 기록. 공수 확인 전 수행 가능으로 확정하지 않음.</x:v>
      </x:c>
      <x:c r="H41" s="115" t="str">
        <x:v>확인 필요</x:v>
      </x:c>
      <x:c r="I41" s="4" t="str">
        <x:f>HYPERLINK('전체 WBS'!AW16,"원문")</x:f>
        <x:v>원문</x:v>
      </x:c>
      <x:c r="J41" s="4"/>
    </x:row>
    <x:row r="42" ht="63" customHeight="1">
      <x:c r="A42" s="4" t="str">
        <x:v>작업 집중</x:v>
      </x:c>
      <x:c r="B42" s="4" t="str">
        <x:v>D3·D4·D5.1·D6.1</x:v>
      </x:c>
      <x:c r="C42" s="4" t="str">
        <x:v>M5 10/28–30 인계·Store·CI 준비 집중.</x:v>
      </x:c>
      <x:c r="D42" s="4" t="str">
        <x:f>'전체 WBS'!D28</x:f>
        <x:v>M5 유은혜(PM)</x:v>
      </x:c>
      <x:c r="E42" s="4" t="str">
        <x:f>'전체 WBS'!E28</x:f>
        <x:v>M3 홍은서 · M4 박진혁</x:v>
      </x:c>
      <x:c r="F42" s="49" t="n">
        <x:f>'전체 WBS'!G28</x:f>
        <x:v>46325.0</x:v>
      </x:c>
      <x:c r="G42" s="4" t="str">
        <x:v>10/28 OTT·CI 준비, 10/30 Store·AWS·배포 인계 확인. 지연 시 당일 #6 조정.</x:v>
      </x:c>
      <x:c r="H42" s="115" t="str">
        <x:v>확인 필요</x:v>
      </x:c>
      <x:c r="I42" s="4" t="str">
        <x:f>HYPERLINK('전체 WBS'!AW28,"원문")</x:f>
        <x:v>원문</x:v>
      </x:c>
      <x:c r="J42" s="4"/>
    </x:row>
    <x:row r="43" ht="63" customHeight="1">
      <x:c r="A43" s="4" t="str">
        <x:v>같은 날 선행</x:v>
      </x:c>
      <x:c r="B43" s="4" t="str">
        <x:v>I26.2, D6.2, I31.3, I26.3</x:v>
      </x:c>
      <x:c r="C43" s="4" t="str">
        <x:v>11/04 오전 정책·AI 준비 후 오후 CD 배포. 11/05 오전 DB 협업 후 오후 VIP 구성.</x:v>
      </x:c>
      <x:c r="D43" s="4" t="str">
        <x:f>'전체 WBS'!D28</x:f>
        <x:v>M5 유은혜(PM)</x:v>
      </x:c>
      <x:c r="E43" s="4" t="str">
        <x:f>'전체 WBS'!E28</x:f>
        <x:v>M3 홍은서 · M4 박진혁</x:v>
      </x:c>
      <x:c r="F43" s="49" t="n">
        <x:f>'전체 WBS'!G28</x:f>
        <x:v>46325.0</x:v>
      </x:c>
      <x:c r="G43" s="4" t="str">
        <x:v>기술 선행과 담당자 일정 제약 구분. 인계 미완료 시 후속 배포/통합 영향과 새 예상일 기록.</x:v>
      </x:c>
      <x:c r="H43" s="115" t="str">
        <x:v>확인 필요</x:v>
      </x:c>
      <x:c r="I43" s="4" t="str">
        <x:f>HYPERLINK('전체 WBS'!AW28,"원문")</x:f>
        <x:v>원문</x:v>
      </x:c>
      <x:c r="J43" s="4"/>
    </x:row>
    <x:row r="44" ht="63" customHeight="1">
      <x:c r="A44" s="4" t="str">
        <x:v>라우팅 검증</x:v>
      </x:c>
      <x:c r="B44" s="4" t="str">
        <x:v>C7</x:v>
      </x:c>
      <x:c r="C44" s="4" t="str">
        <x:v>10/21 M1–M3 일반 라우팅 결정. 실제 주소·반환 경로·출발지 IP 보존은 PL/담당 검증 필요.</x:v>
      </x:c>
      <x:c r="D44" s="4" t="str">
        <x:f>'전체 WBS'!D16</x:f>
        <x:v>M5 유은혜(PM)</x:v>
      </x:c>
      <x:c r="E44" s="4" t="str">
        <x:f>'전체 WBS'!E16</x:f>
        <x:v>M3 홍은서 · M1 유용수M2 윤서영 · M4 박진혁</x:v>
      </x:c>
      <x:c r="F44" s="49" t="n">
        <x:f>'전체 WBS'!G16</x:f>
        <x:v>46318.0</x:v>
      </x:c>
      <x:c r="G44" s="4" t="str">
        <x:v>방식 재선정 대신 실제 양방향 경로·NAT 예외·허용 포트 검증. S03/S05 결과와 연결.</x:v>
      </x:c>
      <x:c r="H44" s="115" t="str">
        <x:v>확인 필요</x:v>
      </x:c>
      <x:c r="I44" s="4" t="str">
        <x:f>HYPERLINK('전체 WBS'!AW16,"원문")</x:f>
        <x:v>원문</x:v>
      </x:c>
      <x:c r="J44" s="4"/>
    </x:row>
    <x:row r="45" ht="63" customHeight="1">
      <x:c r="A45" s="4" t="str">
        <x:v>권한·환경</x:v>
      </x:c>
      <x:c r="B45" s="4" t="str">
        <x:v>C6.1, C12.1</x:v>
      </x:c>
      <x:c r="C45" s="4" t="str">
        <x:v>UTM build·라이선스·자원과 AWS 권한·예산·한국 HTTPS API 경로는 실제 확인값 필요.</x:v>
      </x:c>
      <x:c r="D45" s="4" t="str">
        <x:f>'전체 WBS'!D26</x:f>
        <x:v>M5 유은혜(PM)</x:v>
      </x:c>
      <x:c r="E45" s="4" t="str">
        <x:f>'전체 WBS'!E26</x:f>
        <x:v>M1 유용수 · M3 홍은서M4 박진혁</x:v>
      </x:c>
      <x:c r="F45" s="49" t="n">
        <x:f>'전체 WBS'!G26</x:f>
        <x:v>46318.0</x:v>
      </x:c>
      <x:c r="G45" s="4" t="str">
        <x:v>10/23 검토. AWS 연동 지연은 Store/CD에 영향; S05 시험의 필수 선행조건은 아님.</x:v>
      </x:c>
      <x:c r="H45" s="115" t="str">
        <x:v>확인 필요</x:v>
      </x:c>
      <x:c r="I45" s="4" t="str">
        <x:f>HYPERLINK('전체 WBS'!AW26,"원문")</x:f>
        <x:v>원문</x:v>
      </x:c>
      <x:c r="J45" s="4"/>
    </x:row>
    <x:row r="46" ht="63" customHeight="1">
      <x:c r="A46" s="4" t="str">
        <x:v>검토 미확인</x:v>
      </x:c>
      <x:c r="B46" s="4" t="str">
        <x:v>I02</x:v>
      </x:c>
      <x:c r="C46" s="4" t="str">
        <x:v>M2 #2 종료·등록 확인. 작성자 댓글은 일부 성공·IP 변경 가능으로 전체 검증 완료와 다름.</x:v>
      </x:c>
      <x:c r="D46" s="4" t="str">
        <x:f>'전체 WBS'!D12</x:f>
        <x:v>M2 윤서영</x:v>
      </x:c>
      <x:c r="E46" s="4" t="str">
        <x:f>'전체 WBS'!E12</x:f>
        <x:v>M3 홍은서</x:v>
      </x:c>
      <x:c r="F46" s="49">
        <x:f>'전체 WBS'!G16</x:f>
        <x:v>46318.0</x:v>
      </x:c>
      <x:c r="G46" s="4" t="str">
        <x:v>M2/PL이 잔여 IP 확인 결과를 C6.1에 기록. 기존 Issue 종료 상태는 유지.</x:v>
      </x:c>
      <x:c r="H46" s="115" t="str">
        <x:v>확인 필요</x:v>
      </x:c>
      <x:c r="I46" s="4" t="str">
        <x:f>HYPERLINK('전체 WBS'!AW12,"원문")</x:f>
        <x:v>원문</x:v>
      </x:c>
      <x:c r="J46" s="4"/>
    </x:row>
    <x:row r="47" ht="63" customHeight="1">
      <x:c r="A47" s="4" t="str">
        <x:v>일정 미정</x:v>
      </x:c>
      <x:c r="B47" s="4" t="str">
        <x:v>MX1</x:v>
      </x:c>
      <x:c r="C47" s="4" t="str">
        <x:v>M1 후속 실장비 설계: M2 주담당·M4 보조, 시작·마감·Issue 없음.</x:v>
      </x:c>
      <x:c r="D47" s="4" t="str">
        <x:f>'전체 WBS'!D90</x:f>
        <x:v>M2 윤서영</x:v>
      </x:c>
      <x:c r="E47" s="4" t="str">
        <x:f>'전체 WBS'!E90</x:f>
        <x:v>M4 박진혁</x:v>
      </x:c>
      <x:c r="F47" s="49" t="str">
        <x:f>'전체 WBS'!G90</x:f>
        <x:v>확인 필요</x:v>
      </x:c>
      <x:c r="G47" s="4" t="str">
        <x:v>현재 가상 M1 축소와 별개. PM/PL이 실행 시점·범위 확인.</x:v>
      </x:c>
      <x:c r="H47" s="115" t="str">
        <x:v>확인 필요</x:v>
      </x:c>
      <x:c r="I47" s="4" t="str">
        <x:f>HYPERLINK('전체 WBS'!AW90,"원문")</x:f>
        <x:v>원문</x:v>
      </x:c>
      <x:c r="J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</x:row>
    <x:row r="49" ht="24" customHeight="1">
      <x:c r="A49" s="8" t="str">
        <x:v>근거: WBS·Issue #1~38 및 진행 댓글·10/21 회의록 / 개정 기준 2026.10.22</x:v>
      </x:c>
      <x:c r="B49" s="8"/>
      <x:c r="C49" s="8"/>
      <x:c r="D49" s="8"/>
      <x:c r="E49" s="8"/>
      <x:c r="F49" s="8"/>
      <x:c r="G49" s="8"/>
      <x:c r="H49" s="8"/>
      <x:c r="I49" s="8"/>
      <x:c r="J49" s="4"/>
    </x:row>
    <x:row r="50" ht="24" customHeight="1">
      <x:c r="A50" s="8" t="str">
        <x:v>작성·등록 완료와 PL 기술 검토 구분. 목표 일정 유지; 실제 투입시간·구축 성공은 증거가 있을 때만 반영.</x:v>
      </x:c>
      <x:c r="B50" s="8"/>
      <x:c r="C50" s="8"/>
      <x:c r="D50" s="8"/>
      <x:c r="E50" s="8"/>
      <x:c r="F50" s="8"/>
      <x:c r="G50" s="8"/>
      <x:c r="H50" s="8"/>
      <x:c r="I50" s="8"/>
      <x:c r="J50" s="4"/>
    </x:row>
    <x:row r="51" ht="24" customHeight="1">
      <x:c r="A51" s="8" t="str">
        <x:v>Excel은 저장 시점 사본. 변경 시 WBS.md·Issue·관리용/게시용 Excel을 함께 갱신. Projects 사용자 지정 상태는 별도 관리.</x:v>
      </x:c>
      <x:c r="B51" s="8"/>
      <x:c r="C51" s="8"/>
      <x:c r="D51" s="8"/>
      <x:c r="E51" s="8"/>
      <x:c r="F51" s="8"/>
      <x:c r="G51" s="8"/>
      <x:c r="H51" s="8"/>
      <x:c r="I51" s="8"/>
      <x:c r="J51" s="4"/>
    </x:row>
  </x:sheetData>
  <x:autoFilter ref="A7:I36"/>
  <x:mergeCells>
    <x:mergeCell ref="A2:I2"/>
    <x:mergeCell ref="A3:I3"/>
    <x:mergeCell ref="A4:I4"/>
    <x:mergeCell ref="A5:I5"/>
    <x:mergeCell ref="A38:I38"/>
    <x:mergeCell ref="A49:I49"/>
    <x:mergeCell ref="A50:I50"/>
    <x:mergeCell ref="A51:I51"/>
  </x:mergeCells>
  <x:printOptions horizontalCentered="1" gridLines="0" headings="0"/>
  <x:pageMargins left="0.22" right="0.22" top="0.30" bottom="0.30" header="0.12" footer="0.12"/>
  <x:pageSetup paperSize="9" orientation="landscape" fitToWidth="1" fitToHeight="0" pageOrder="downThenOver"/>
  <x:headerFooter>
    <x:oddFooter>&amp;LTeam Blocks  2026.10.22&amp;C주요 마감·의존관계&amp;R&amp;P / &amp;N</x:oddFooter>
  </x:headerFooter>
  <x:rowBreaks count="1" manualBreakCount="1">
    <x:brk id="37" min="0" max="16383" man="1"/>
  </x:rowBreaks>
</x:worksheet>
</file>